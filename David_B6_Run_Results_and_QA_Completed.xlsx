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Frozen Configuration" sheetId="2" state="visible" r:id="rId2"/>
    <sheet xmlns:r="http://schemas.openxmlformats.org/officeDocument/2006/relationships" name="Data and Repo Audit" sheetId="3" state="visible" r:id="rId3"/>
    <sheet xmlns:r="http://schemas.openxmlformats.org/officeDocument/2006/relationships" name="Run Summary" sheetId="4" state="visible" r:id="rId4"/>
    <sheet xmlns:r="http://schemas.openxmlformats.org/officeDocument/2006/relationships" name="Pairwise Thresholds" sheetId="5" state="visible" r:id="rId5"/>
    <sheet xmlns:r="http://schemas.openxmlformats.org/officeDocument/2006/relationships" name="Hourly File Inventory" sheetId="6" state="visible" r:id="rId6"/>
    <sheet xmlns:r="http://schemas.openxmlformats.org/officeDocument/2006/relationships" name="QA Checks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0"/>
    </font>
    <font>
      <name val="Carlito"/>
      <b val="1"/>
      <color rgb="FF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0F6B6D"/>
      </patternFill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7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1" fillId="4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164" fontId="0" fillId="0" borderId="0" pivotButton="0" quotePrefix="0" xfId="0"/>
    <xf numFmtId="164" fontId="0" fillId="0" borderId="1" pivotButton="0" quotePrefix="0" xfId="0"/>
    <xf numFmtId="4" fontId="0" fillId="0" borderId="0" pivotButton="0" quotePrefix="0" xfId="0"/>
    <xf numFmtId="4" fontId="0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164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4" fontId="0" fillId="0" borderId="1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164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4" fillId="5" borderId="0" applyAlignment="1" pivotButton="0" quotePrefix="0" xfId="0">
      <alignment vertical="center" wrapText="1"/>
    </xf>
    <xf numFmtId="4" fontId="4" fillId="5" borderId="0" applyAlignment="1" pivotButton="0" quotePrefix="0" xfId="0">
      <alignment vertical="center" wrapText="1"/>
    </xf>
    <xf numFmtId="164" fontId="4" fillId="5" borderId="0" applyAlignment="1" pivotButton="0" quotePrefix="0" xfId="0">
      <alignment vertical="center" wrapText="1"/>
    </xf>
    <xf numFmtId="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ont>
        <b val="1"/>
        <color rgb="FF9C6500"/>
      </font>
      <fill>
        <patternFill patternType="solid">
          <bgColor rgb="FFFFF4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avidFrozenConfigTable" displayName="DavidFrozenConfigTable" ref="A1:G28" headerRowCount="1">
  <tableColumns count="7">
    <tableColumn id="1" name="Category"/>
    <tableColumn id="2" name="Parameter"/>
    <tableColumn id="3" name="Frozen Value"/>
    <tableColumn id="4" name="Unit"/>
    <tableColumn id="5" name="Exact Code Variable / Argument"/>
    <tableColumn id="6" name="Same for All Runs?"/>
    <tableColumn id="7" name="Notes / Deviation"/>
  </tableColumns>
  <tableStyleInfo name="TableStyleMedium2" showRowStripes="1"/>
</table>
</file>

<file path=xl/tables/table2.xml><?xml version="1.0" encoding="utf-8"?>
<table xmlns="http://schemas.openxmlformats.org/spreadsheetml/2006/main" id="2" name="DavidRepoAuditTable" displayName="DavidRepoAuditTable" ref="A1:H10" headerRowCount="1">
  <tableColumns count="8">
    <tableColumn id="1" name="Audit ID"/>
    <tableColumn id="2" name="Repository/Data Item"/>
    <tableColumn id="3" name="Expected Location"/>
    <tableColumn id="4" name="Present?"/>
    <tableColumn id="5" name="Exact Path Used"/>
    <tableColumn id="6" name="Authoritative / Derived"/>
    <tableColumn id="7" name="Commit Hash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DavidRunSummaryTable" displayName="DavidRunSummaryTable" ref="A1:W7" headerRowCount="1">
  <tableColumns count="23">
    <tableColumn id="1" name="Run ID"/>
    <tableColumn id="2" name="Architecture ID"/>
    <tableColumn id="3" name="Workflow"/>
    <tableColumn id="4" name="Power (MW)"/>
    <tableColumn id="5" name="Duration (h)"/>
    <tableColumn id="6" name="Energy (MWh)"/>
    <tableColumn id="7" name="Planning Horizon (h)"/>
    <tableColumn id="8" name="Execution Step (h)"/>
    <tableColumn id="9" name="Initial SOC (MWh)"/>
    <tableColumn id="10" name="Minimum SOC (MWh)"/>
    <tableColumn id="11" name="Final SOC (MWh)"/>
    <tableColumn id="12" name="Raw Realized Revenue (USD)"/>
    <tableColumn id="13" name="Delivered Energy (MWh)"/>
    <tableColumn id="14" name="Charged Energy (MWh)"/>
    <tableColumn id="15" name="Discharged Energy (MWh)"/>
    <tableColumn id="16" name="Curtailed Wind (MWh)"/>
    <tableColumn id="17" name="Storage Loss (MWh)"/>
    <tableColumn id="18" name="Constraint Violations"/>
    <tableColumn id="19" name="Solver Status"/>
    <tableColumn id="20" name="Runtime (s)"/>
    <tableColumn id="21" name="Hourly Output Filename"/>
    <tableColumn id="22" name="Command / Config ID"/>
    <tableColumn id="23" name="Notes"/>
  </tableColumns>
  <tableStyleInfo name="TableStyleMedium2" showRowStripes="1"/>
</table>
</file>

<file path=xl/tables/table4.xml><?xml version="1.0" encoding="utf-8"?>
<table xmlns="http://schemas.openxmlformats.org/spreadsheetml/2006/main" id="4" name="DavidPairwiseThresholdsTable" displayName="DavidPairwiseThresholdsTable" ref="A1:H4" headerRowCount="1">
  <tableColumns count="8">
    <tableColumn id="1" name="Architecture Pair"/>
    <tableColumn id="2" name="Oracle Incremental Value (USD)"/>
    <tableColumn id="3" name="Causal Incremental Value (USD)"/>
    <tableColumn id="4" name="Lower Break-Even Bound (USD)"/>
    <tableColumn id="5" name="Upper Break-Even Bound (USD)"/>
    <tableColumn id="6" name="Boundary Width (USD)"/>
    <tableColumn id="7" name="Workflow Ordering Differs?"/>
    <tableColumn id="8" name="Interpretation / Notes"/>
  </tableColumns>
  <tableStyleInfo name="TableStyleMedium2" showRowStripes="1"/>
</table>
</file>

<file path=xl/tables/table5.xml><?xml version="1.0" encoding="utf-8"?>
<table xmlns="http://schemas.openxmlformats.org/spreadsheetml/2006/main" id="5" name="DavidHourlyInventoryTable" displayName="DavidHourlyInventoryTable" ref="A1:I7" headerRowCount="1">
  <tableColumns count="9">
    <tableColumn id="1" name="Run ID"/>
    <tableColumn id="2" name="Required Filename"/>
    <tableColumn id="3" name="Attached?"/>
    <tableColumn id="4" name="Rows"/>
    <tableColumn id="5" name="First Timestamp"/>
    <tableColumn id="6" name="Last Timestamp"/>
    <tableColumn id="7" name="Required Columns Present?"/>
    <tableColumn id="8" name="Raw Price Used?"/>
    <tableColumn id="9" name="Notes"/>
  </tableColumns>
  <tableStyleInfo name="TableStyleMedium2" showRowStripes="1"/>
</table>
</file>

<file path=xl/tables/table6.xml><?xml version="1.0" encoding="utf-8"?>
<table xmlns="http://schemas.openxmlformats.org/spreadsheetml/2006/main" id="6" name="DavidQATable" displayName="DavidQATable" ref="A1:J14" headerRowCount="1">
  <tableColumns count="10">
    <tableColumn id="1" name="QA ID"/>
    <tableColumn id="2" name="Check"/>
    <tableColumn id="3" name="Required Result"/>
    <tableColumn id="4" name="A_ORACLE"/>
    <tableColumn id="5" name="A_CAUSAL"/>
    <tableColumn id="6" name="B_ORACLE"/>
    <tableColumn id="7" name="B_CAUSAL"/>
    <tableColumn id="8" name="C_ORACLE"/>
    <tableColumn id="9" name="C_CAUSAL"/>
    <tableColumn id="10" name="Evidence / Log Referenc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2" t="inlineStr">
        <is>
          <t>David B6 Run Results and QA Template</t>
        </is>
      </c>
      <c r="B1" s="62" t="n"/>
      <c r="C1" s="62" t="n"/>
      <c r="D1" s="62" t="n"/>
      <c r="E1" s="62" t="n"/>
      <c r="F1" s="62" t="n"/>
    </row>
    <row r="2">
      <c r="A2" s="63" t="inlineStr">
        <is>
          <t>Complete and return by Tuesday local COB (Eastern Time). Primary metric: raw realized revenue in USD.</t>
        </is>
      </c>
      <c r="B2" s="31" t="n"/>
      <c r="C2" s="31" t="n"/>
      <c r="D2" s="31" t="n"/>
      <c r="E2" s="31" t="n"/>
      <c r="F2" s="31" t="n"/>
    </row>
    <row r="3">
      <c r="A3" s="28" t="n"/>
      <c r="B3" s="28" t="n"/>
      <c r="C3" s="28" t="n"/>
      <c r="D3" s="28" t="n"/>
      <c r="E3" s="28" t="n"/>
      <c r="F3" s="28" t="n"/>
    </row>
    <row r="4">
      <c r="A4" s="28" t="inlineStr">
        <is>
          <t>Item</t>
        </is>
      </c>
      <c r="B4" s="28" t="inlineStr">
        <is>
          <t>Frozen instruction</t>
        </is>
      </c>
      <c r="C4" s="28" t="n"/>
      <c r="D4" s="28" t="n"/>
      <c r="E4" s="28" t="n"/>
      <c r="F4" s="28" t="n"/>
    </row>
    <row r="5">
      <c r="A5" s="28" t="inlineStr">
        <is>
          <t>Year</t>
        </is>
      </c>
      <c r="B5" s="28" t="inlineStr">
        <is>
          <t>2020 only</t>
        </is>
      </c>
      <c r="C5" s="28" t="n"/>
      <c r="D5" s="28" t="n"/>
      <c r="E5" s="28" t="n"/>
      <c r="F5" s="28" t="n"/>
    </row>
    <row r="6">
      <c r="A6" s="28" t="inlineStr">
        <is>
          <t>Architectures</t>
        </is>
      </c>
      <c r="B6" s="28" t="inlineStr">
        <is>
          <t>A = 100 MW / 6 h; B = 200 MW / 3 h; C = 100 MW / 10 h</t>
        </is>
      </c>
      <c r="C6" s="28" t="n"/>
      <c r="D6" s="28" t="n"/>
      <c r="E6" s="28" t="n"/>
      <c r="F6" s="28" t="n"/>
    </row>
    <row r="7">
      <c r="A7" s="28" t="inlineStr">
        <is>
          <t>Workflows</t>
        </is>
      </c>
      <c r="B7" s="28" t="inlineStr">
        <is>
          <t>Oracle and causal reference only</t>
        </is>
      </c>
      <c r="C7" s="28" t="n"/>
      <c r="D7" s="28" t="n"/>
      <c r="E7" s="28" t="n"/>
      <c r="F7" s="28" t="n"/>
    </row>
    <row r="8">
      <c r="A8" s="28" t="inlineStr">
        <is>
          <t>Causal horizon</t>
        </is>
      </c>
      <c r="B8" s="28" t="inlineStr">
        <is>
          <t>48 h planning horizon</t>
        </is>
      </c>
      <c r="C8" s="28" t="n"/>
      <c r="D8" s="28" t="n"/>
      <c r="E8" s="28" t="n"/>
      <c r="F8" s="28" t="n"/>
    </row>
    <row r="9">
      <c r="A9" s="28" t="inlineStr">
        <is>
          <t>Execution step</t>
        </is>
      </c>
      <c r="B9" s="28" t="inlineStr">
        <is>
          <t>24 h</t>
        </is>
      </c>
      <c r="C9" s="28" t="n"/>
      <c r="D9" s="28" t="n"/>
      <c r="E9" s="28" t="n"/>
      <c r="F9" s="28" t="n"/>
    </row>
    <row r="10">
      <c r="A10" s="28" t="inlineStr">
        <is>
          <t>Charging</t>
        </is>
      </c>
      <c r="B10" s="28" t="inlineStr">
        <is>
          <t>Wind only; no grid charging</t>
        </is>
      </c>
      <c r="C10" s="28" t="n"/>
      <c r="D10" s="28" t="n"/>
      <c r="E10" s="28" t="n"/>
      <c r="F10" s="28" t="n"/>
    </row>
    <row r="11">
      <c r="A11" s="28" t="inlineStr">
        <is>
          <t>Primary metric</t>
        </is>
      </c>
      <c r="B11" s="28" t="inlineStr">
        <is>
          <t>Raw realized revenue in USD using raw realized LMP</t>
        </is>
      </c>
      <c r="C11" s="28" t="n"/>
      <c r="D11" s="28" t="n"/>
      <c r="E11" s="28" t="n"/>
      <c r="F11" s="28" t="n"/>
    </row>
    <row r="12">
      <c r="A12" s="28" t="inlineStr">
        <is>
          <t>Do not use</t>
        </is>
      </c>
      <c r="B12" s="28" t="inlineStr">
        <is>
          <t>Normalized/capped price, COVE, or profit as primary metric</t>
        </is>
      </c>
      <c r="C12" s="28" t="n"/>
      <c r="D12" s="28" t="n"/>
      <c r="E12" s="28" t="n"/>
      <c r="F12" s="28" t="n"/>
    </row>
    <row r="13">
      <c r="A13" s="28" t="inlineStr">
        <is>
          <t>Out of scope</t>
        </is>
      </c>
      <c r="B13" s="28" t="inlineStr">
        <is>
          <t>Scenario runs, new forecasts, other years, cost model, degradation, grid charging</t>
        </is>
      </c>
      <c r="C13" s="28" t="n"/>
      <c r="D13" s="28" t="n"/>
      <c r="E13" s="28" t="n"/>
      <c r="F13" s="28" t="n"/>
    </row>
    <row r="14">
      <c r="A14" s="28" t="inlineStr">
        <is>
          <t>Delivery</t>
        </is>
      </c>
      <c r="B14" s="28" t="inlineStr">
        <is>
          <t>Completed DOCX + XLSX + six hourly CSVs + commands/config/log ZIP</t>
        </is>
      </c>
      <c r="C14" s="28" t="n"/>
      <c r="D14" s="28" t="n"/>
      <c r="E14" s="28" t="n"/>
      <c r="F14" s="28" t="n"/>
    </row>
    <row r="15">
      <c r="A15" s="28" t="inlineStr">
        <is>
          <t>Missing issue</t>
        </is>
      </c>
      <c r="B15" s="28" t="inlineStr">
        <is>
          <t>Stop and email Chris rather than silently changing the frozen definition</t>
        </is>
      </c>
      <c r="C15" s="28" t="n"/>
      <c r="D15" s="28" t="n"/>
      <c r="E15" s="28" t="n"/>
      <c r="F15" s="28" t="n"/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7" customWidth="1" min="2" max="2"/>
    <col width="52" customWidth="1" min="3" max="3"/>
    <col width="12" customWidth="1" min="4" max="4"/>
    <col width="52" customWidth="1" min="5" max="5"/>
    <col width="20" customWidth="1" min="6" max="6"/>
    <col width="52" customWidth="1" min="7" max="7"/>
  </cols>
  <sheetData>
    <row r="1">
      <c r="A1" s="64" t="inlineStr">
        <is>
          <t>Category</t>
        </is>
      </c>
      <c r="B1" s="64" t="inlineStr">
        <is>
          <t>Parameter</t>
        </is>
      </c>
      <c r="C1" s="64" t="inlineStr">
        <is>
          <t>Frozen Value</t>
        </is>
      </c>
      <c r="D1" s="64" t="inlineStr">
        <is>
          <t>Unit</t>
        </is>
      </c>
      <c r="E1" s="64" t="inlineStr">
        <is>
          <t>Exact Code Variable / Argument</t>
        </is>
      </c>
      <c r="F1" s="64" t="inlineStr">
        <is>
          <t>Same for All Runs?</t>
        </is>
      </c>
      <c r="G1" s="64" t="inlineStr">
        <is>
          <t>Notes / Deviation</t>
        </is>
      </c>
    </row>
    <row r="2">
      <c r="A2" s="28" t="inlineStr">
        <is>
          <t>Repository</t>
        </is>
      </c>
      <c r="B2" s="28" t="inlineStr">
        <is>
          <t>Repository URL</t>
        </is>
      </c>
      <c r="C2" s="28" t="inlineStr">
        <is>
          <t>https://github.com/davidvalenta-dev/deep-wind-model-dispatch.git</t>
        </is>
      </c>
      <c r="D2" s="28" t="str"/>
      <c r="E2" s="28" t="inlineStr">
        <is>
          <t>origin remote</t>
        </is>
      </c>
      <c r="F2" s="28" t="inlineStr">
        <is>
          <t>Yes</t>
        </is>
      </c>
      <c r="G2" s="28" t="inlineStr">
        <is>
          <t>Frozen repo remote used for B6.</t>
        </is>
      </c>
    </row>
    <row r="3">
      <c r="A3" s="28" t="inlineStr">
        <is>
          <t>Repository</t>
        </is>
      </c>
      <c r="B3" s="28" t="inlineStr">
        <is>
          <t>Commit hash</t>
        </is>
      </c>
      <c r="C3" s="28" t="inlineStr">
        <is>
          <t>b14f5d183c4df1824a75d3da3bdbbb0062f6a110</t>
        </is>
      </c>
      <c r="D3" s="28" t="str"/>
      <c r="E3" s="28" t="inlineStr">
        <is>
          <t>git rev-parse HEAD</t>
        </is>
      </c>
      <c r="F3" s="28" t="inlineStr">
        <is>
          <t>Yes</t>
        </is>
      </c>
      <c r="G3" s="28" t="inlineStr">
        <is>
          <t>Repository was clean at run time.</t>
        </is>
      </c>
    </row>
    <row r="4">
      <c r="A4" s="28" t="inlineStr">
        <is>
          <t>Environment</t>
        </is>
      </c>
      <c r="B4" s="28" t="inlineStr">
        <is>
          <t>Python version</t>
        </is>
      </c>
      <c r="C4" s="28" t="inlineStr">
        <is>
          <t>3.11.9 (v3.11.9:de54cf5be3, Apr  2 2024, 07:12:50) [Clang 13.0.0 (clang-1300.0.29.30)]</t>
        </is>
      </c>
      <c r="D4" s="28" t="str"/>
      <c r="E4" s="28" t="inlineStr">
        <is>
          <t>sys.version</t>
        </is>
      </c>
      <c r="F4" s="28" t="inlineStr">
        <is>
          <t>Yes</t>
        </is>
      </c>
      <c r="G4" s="28" t="inlineStr">
        <is>
          <t>macOS-14.4-arm64-arm-64bit</t>
        </is>
      </c>
    </row>
    <row r="5">
      <c r="A5" s="28" t="inlineStr">
        <is>
          <t>Environment</t>
        </is>
      </c>
      <c r="B5" s="28" t="inlineStr">
        <is>
          <t>Gurobi version</t>
        </is>
      </c>
      <c r="C5" s="28" t="inlineStr">
        <is>
          <t>13.0.2</t>
        </is>
      </c>
      <c r="D5" s="28" t="str"/>
      <c r="E5" s="28" t="inlineStr">
        <is>
          <t>gurobipy.gurobi.version()</t>
        </is>
      </c>
      <c r="F5" s="28" t="inlineStr">
        <is>
          <t>Yes</t>
        </is>
      </c>
      <c r="G5" s="28" t="inlineStr">
        <is>
          <t>License ID 2844045 active during solve.</t>
        </is>
      </c>
    </row>
    <row r="6">
      <c r="A6" s="28" t="inlineStr">
        <is>
          <t>Data</t>
        </is>
      </c>
      <c r="B6" s="28" t="inlineStr">
        <is>
          <t>Year</t>
        </is>
      </c>
      <c r="C6" s="28" t="n">
        <v>2020</v>
      </c>
      <c r="D6" s="28" t="inlineStr">
        <is>
          <t>year</t>
        </is>
      </c>
      <c r="E6" s="28" t="inlineStr">
        <is>
          <t>load_b6_data(...).year == 2020</t>
        </is>
      </c>
      <c r="F6" s="28" t="inlineStr">
        <is>
          <t>Yes</t>
        </is>
      </c>
      <c r="G6" s="28" t="inlineStr">
        <is>
          <t>Leap year: 8784 hourly rows.</t>
        </is>
      </c>
    </row>
    <row r="7">
      <c r="A7" s="28" t="inlineStr">
        <is>
          <t>Data</t>
        </is>
      </c>
      <c r="B7" s="28" t="inlineStr">
        <is>
          <t>Wind input file</t>
        </is>
      </c>
      <c r="C7" s="28" t="inlineStr">
        <is>
          <t>/Users/davidvalenta/deep-wind-model-dispatch/data/processed/pyron_power.csv</t>
        </is>
      </c>
      <c r="D7" s="28" t="str"/>
      <c r="E7" s="28" t="inlineStr">
        <is>
          <t>power_input_file</t>
        </is>
      </c>
      <c r="F7" s="28" t="inlineStr">
        <is>
          <t>Yes</t>
        </is>
      </c>
      <c r="G7" s="28" t="inlineStr">
        <is>
          <t>Complete 2020 wind series used for B6; 8784 hourly records.</t>
        </is>
      </c>
    </row>
    <row r="8">
      <c r="A8" s="28" t="inlineStr">
        <is>
          <t>Data</t>
        </is>
      </c>
      <c r="B8" s="28" t="inlineStr">
        <is>
          <t>Actual raw price input file</t>
        </is>
      </c>
      <c r="C8" s="28" t="inlineStr">
        <is>
          <t>/Users/davidvalenta/deep-wind-model-dispatch/data/raw/prices/12cfb125-8fa9-4401-8b0f-9d928544b721.csv</t>
        </is>
      </c>
      <c r="D8" s="28" t="str"/>
      <c r="E8" s="28" t="inlineStr">
        <is>
          <t>raw_lmp_input_file</t>
        </is>
      </c>
      <c r="F8" s="28" t="inlineStr">
        <is>
          <t>Yes</t>
        </is>
      </c>
      <c r="G8" s="28" t="inlineStr">
        <is>
          <t>Complete 2020 raw PYR_PYRON1 LMP series; 8784 hourly records; negative prices preserved.</t>
        </is>
      </c>
    </row>
    <row r="9">
      <c r="A9" s="28" t="inlineStr">
        <is>
          <t>Data</t>
        </is>
      </c>
      <c r="B9" s="28" t="inlineStr">
        <is>
          <t>Forecast wind file/model</t>
        </is>
      </c>
      <c r="C9" s="28" t="inlineStr">
        <is>
          <t>existing-style causal ridge lag/calendar direct forecast using /Users/davidvalenta/deep-wind-model-dispatch/data/processed/dataset_2018-21.csv</t>
        </is>
      </c>
      <c r="D9" s="28" t="str"/>
      <c r="E9" s="28" t="inlineStr">
        <is>
          <t>prepare_forecast_frame(...), wind_forecast_alpha</t>
        </is>
      </c>
      <c r="F9" s="28" t="inlineStr">
        <is>
          <t>Yes</t>
        </is>
      </c>
      <c r="G9" s="28" t="inlineStr">
        <is>
          <t>Train: 2018-01-01 00:00:00 to 2020-01-01 00:00:00; test year 2020.</t>
        </is>
      </c>
    </row>
    <row r="10">
      <c r="A10" s="28" t="inlineStr">
        <is>
          <t>Data</t>
        </is>
      </c>
      <c r="B10" s="28" t="inlineStr">
        <is>
          <t>Forecast price file/model</t>
        </is>
      </c>
      <c r="C10" s="28" t="inlineStr">
        <is>
          <t>existing-style causal ridge lag/calendar direct forecast using /Users/davidvalenta/deep-wind-model-dispatch/data/processed/dataset_2018-21.csv</t>
        </is>
      </c>
      <c r="D10" s="28" t="str"/>
      <c r="E10" s="28" t="inlineStr">
        <is>
          <t>prepare_forecast_frame(...), price_forecast_alpha</t>
        </is>
      </c>
      <c r="F10" s="28" t="inlineStr">
        <is>
          <t>Yes</t>
        </is>
      </c>
      <c r="G10" s="28" t="inlineStr">
        <is>
          <t>48-hour causal direct forecast; 366 daily origins.</t>
        </is>
      </c>
    </row>
    <row r="11">
      <c r="A11" s="28" t="inlineStr">
        <is>
          <t>Data</t>
        </is>
      </c>
      <c r="B11" s="28" t="inlineStr">
        <is>
          <t>Time zone</t>
        </is>
      </c>
      <c r="C11" s="28" t="inlineStr">
        <is>
          <t>Continuous local 2020 hourly output index</t>
        </is>
      </c>
      <c r="D11" s="28" t="str"/>
      <c r="E11" s="28" t="inlineStr">
        <is>
          <t>load_b6_data timestamps</t>
        </is>
      </c>
      <c r="F11" s="28" t="inlineStr">
        <is>
          <t>Yes</t>
        </is>
      </c>
      <c r="G11" s="28" t="inlineStr">
        <is>
          <t>Raw source labels include DST behavior.</t>
        </is>
      </c>
    </row>
    <row r="12">
      <c r="A12" s="28" t="inlineStr">
        <is>
          <t>Data</t>
        </is>
      </c>
      <c r="B12" s="28" t="inlineStr">
        <is>
          <t>Missing/duplicate hour treatment</t>
        </is>
      </c>
      <c r="C12" s="28" t="inlineStr">
        <is>
          <t>Power and raw LMP are aligned by chronological 2020 row order onto a continuous 8784-hour 2020 output index because raw local interval labels include DST skip/repeat behavior.</t>
        </is>
      </c>
      <c r="D12" s="28" t="str"/>
      <c r="E12" s="28" t="inlineStr">
        <is>
          <t>load_b6_data row-order alignment</t>
        </is>
      </c>
      <c r="F12" s="28" t="inlineStr">
        <is>
          <t>Yes</t>
        </is>
      </c>
      <c r="G12" s="28" t="inlineStr">
        <is>
          <t>Older combined file not used because 2020 has 8783 records and misses 2020-11-15 23:00:00. Raw power source missing label(s): ['2020-03-08 02:00:00']; duplicate local labels: 1.</t>
        </is>
      </c>
    </row>
    <row r="13">
      <c r="A13" s="28" t="inlineStr">
        <is>
          <t>Causal policy</t>
        </is>
      </c>
      <c r="B13" s="28" t="inlineStr">
        <is>
          <t>Planning horizon</t>
        </is>
      </c>
      <c r="C13" s="28" t="n">
        <v>48</v>
      </c>
      <c r="D13" s="28" t="inlineStr">
        <is>
          <t>h</t>
        </is>
      </c>
      <c r="E13" s="28" t="inlineStr">
        <is>
          <t>causal_horizon_hours</t>
        </is>
      </c>
      <c r="F13" s="28" t="inlineStr">
        <is>
          <t>Yes</t>
        </is>
      </c>
      <c r="G13" s="28" t="str"/>
    </row>
    <row r="14">
      <c r="A14" s="28" t="inlineStr">
        <is>
          <t>Causal policy</t>
        </is>
      </c>
      <c r="B14" s="28" t="inlineStr">
        <is>
          <t>Execution/replanning step</t>
        </is>
      </c>
      <c r="C14" s="28" t="n">
        <v>24</v>
      </c>
      <c r="D14" s="28" t="inlineStr">
        <is>
          <t>h</t>
        </is>
      </c>
      <c r="E14" s="28" t="inlineStr">
        <is>
          <t>execution_step_hours</t>
        </is>
      </c>
      <c r="F14" s="28" t="inlineStr">
        <is>
          <t>Yes</t>
        </is>
      </c>
      <c r="G14" s="28" t="str"/>
    </row>
    <row r="15">
      <c r="A15" s="28" t="inlineStr">
        <is>
          <t>Causal policy</t>
        </is>
      </c>
      <c r="B15" s="28" t="inlineStr">
        <is>
          <t>Forecast chooses dispatch?</t>
        </is>
      </c>
      <c r="C15" s="28" t="inlineStr">
        <is>
          <t>Yes</t>
        </is>
      </c>
      <c r="D15" s="28" t="str"/>
      <c r="E15" s="28" t="inlineStr">
        <is>
          <t>run_causal forecast_wind/forecast_price</t>
        </is>
      </c>
      <c r="F15" s="28" t="inlineStr">
        <is>
          <t>Yes</t>
        </is>
      </c>
      <c r="G15" s="28" t="inlineStr">
        <is>
          <t>Forecasts choose schedule; actuals score result.</t>
        </is>
      </c>
    </row>
    <row r="16">
      <c r="A16" s="28" t="inlineStr">
        <is>
          <t>Causal policy</t>
        </is>
      </c>
      <c r="B16" s="28" t="inlineStr">
        <is>
          <t>Actual wind/price score result?</t>
        </is>
      </c>
      <c r="C16" s="28" t="inlineStr">
        <is>
          <t>Yes</t>
        </is>
      </c>
      <c r="D16" s="28" t="str"/>
      <c r="E16" s="28" t="inlineStr">
        <is>
          <t>hourly_raw_revenue_USD</t>
        </is>
      </c>
      <c r="F16" s="28" t="inlineStr">
        <is>
          <t>Yes</t>
        </is>
      </c>
      <c r="G16" s="28" t="inlineStr">
        <is>
          <t>Raw realized LMP used for all revenue scoring.</t>
        </is>
      </c>
    </row>
    <row r="17">
      <c r="A17" s="28" t="inlineStr">
        <is>
          <t>Storage</t>
        </is>
      </c>
      <c r="B17" s="28" t="inlineStr">
        <is>
          <t>Efficiency convention</t>
        </is>
      </c>
      <c r="C17" s="28" t="inlineStr">
        <is>
          <t>RTE = 0.55; SoC[t+1] = SoC[t] + charge - discharge/RTE</t>
        </is>
      </c>
      <c r="D17" s="28" t="str"/>
      <c r="E17" s="28" t="inlineStr">
        <is>
          <t>rte; soc_update</t>
        </is>
      </c>
      <c r="F17" s="28" t="inlineStr">
        <is>
          <t>Yes</t>
        </is>
      </c>
      <c r="G17" s="28" t="inlineStr">
        <is>
          <t>Discharge is delivered/grid-side energy; storage must spend discharge/RTE from SoC.</t>
        </is>
      </c>
    </row>
    <row r="18">
      <c r="A18" s="28" t="inlineStr">
        <is>
          <t>Storage</t>
        </is>
      </c>
      <c r="B18" s="28" t="inlineStr">
        <is>
          <t>Minimum SOC fraction</t>
        </is>
      </c>
      <c r="C18" s="28" t="n">
        <v>0.2</v>
      </c>
      <c r="D18" s="28" t="inlineStr">
        <is>
          <t>fraction</t>
        </is>
      </c>
      <c r="E18" s="28" t="inlineStr">
        <is>
          <t>min_soc_frac</t>
        </is>
      </c>
      <c r="F18" s="28" t="inlineStr">
        <is>
          <t>Yes</t>
        </is>
      </c>
      <c r="G18" s="28" t="inlineStr">
        <is>
          <t>Equivalent to 80% DoD.</t>
        </is>
      </c>
    </row>
    <row r="19">
      <c r="A19" s="28" t="inlineStr">
        <is>
          <t>Storage</t>
        </is>
      </c>
      <c r="B19" s="28" t="inlineStr">
        <is>
          <t>Initial SOC fraction</t>
        </is>
      </c>
      <c r="C19" s="28" t="n">
        <v>0.6</v>
      </c>
      <c r="D19" s="28" t="inlineStr">
        <is>
          <t>fraction</t>
        </is>
      </c>
      <c r="E19" s="28" t="inlineStr">
        <is>
          <t>initial_soc_frac</t>
        </is>
      </c>
      <c r="F19" s="28" t="inlineStr">
        <is>
          <t>Yes</t>
        </is>
      </c>
      <c r="G19" s="28" t="inlineStr">
        <is>
          <t>Scales with each architecture capacity.</t>
        </is>
      </c>
    </row>
    <row r="20">
      <c r="A20" s="28" t="inlineStr">
        <is>
          <t>Storage</t>
        </is>
      </c>
      <c r="B20" s="28" t="inlineStr">
        <is>
          <t>Terminal SOC rule</t>
        </is>
      </c>
      <c r="C20" s="28" t="inlineStr">
        <is>
          <t>equal initial SOC for each optimization horizon; causal executed SOC carries chronologically</t>
        </is>
      </c>
      <c r="D20" s="28" t="str"/>
      <c r="E20" s="28" t="inlineStr">
        <is>
          <t>terminal_equal_initial=True per horizon</t>
        </is>
      </c>
      <c r="F20" s="28" t="inlineStr">
        <is>
          <t>Yes</t>
        </is>
      </c>
      <c r="G20" s="28" t="inlineStr">
        <is>
          <t>Causal actual SoC carries chronologically between executed days.</t>
        </is>
      </c>
    </row>
    <row r="21">
      <c r="A21" s="28" t="inlineStr">
        <is>
          <t>Grid</t>
        </is>
      </c>
      <c r="B21" s="28" t="inlineStr">
        <is>
          <t>Grid export cap</t>
        </is>
      </c>
      <c r="C21" s="28" t="n">
        <v>249</v>
      </c>
      <c r="D21" s="28" t="inlineStr">
        <is>
          <t>MW</t>
        </is>
      </c>
      <c r="E21" s="28" t="inlineStr">
        <is>
          <t>grid_cap_mw</t>
        </is>
      </c>
      <c r="F21" s="28" t="inlineStr">
        <is>
          <t>Yes</t>
        </is>
      </c>
      <c r="G21" s="28" t="inlineStr">
        <is>
          <t>Applied to delivered_power_MW.</t>
        </is>
      </c>
    </row>
    <row r="22">
      <c r="A22" s="28" t="inlineStr">
        <is>
          <t>Grid</t>
        </is>
      </c>
      <c r="B22" s="28" t="inlineStr">
        <is>
          <t>Wind-only charging?</t>
        </is>
      </c>
      <c r="C22" s="28" t="inlineStr">
        <is>
          <t>Yes</t>
        </is>
      </c>
      <c r="D22" s="28" t="str"/>
      <c r="E22" s="28" t="inlineStr">
        <is>
          <t>charge &lt;= generation - direct_wind</t>
        </is>
      </c>
      <c r="F22" s="28" t="inlineStr">
        <is>
          <t>Yes</t>
        </is>
      </c>
      <c r="G22" s="28" t="inlineStr">
        <is>
          <t>wind-only; no grid charging</t>
        </is>
      </c>
    </row>
    <row r="23">
      <c r="A23" s="28" t="inlineStr">
        <is>
          <t>Grid</t>
        </is>
      </c>
      <c r="B23" s="28" t="inlineStr">
        <is>
          <t>Grid charging allowed?</t>
        </is>
      </c>
      <c r="C23" s="28" t="inlineStr">
        <is>
          <t>No</t>
        </is>
      </c>
      <c r="D23" s="28" t="str"/>
      <c r="E23" s="28" t="inlineStr">
        <is>
          <t>charge constrained by wind only</t>
        </is>
      </c>
      <c r="F23" s="28" t="inlineStr">
        <is>
          <t>Yes</t>
        </is>
      </c>
      <c r="G23" s="28" t="inlineStr">
        <is>
          <t>No charging from market/grid.</t>
        </is>
      </c>
    </row>
    <row r="24">
      <c r="A24" s="28" t="inlineStr">
        <is>
          <t>Solver</t>
        </is>
      </c>
      <c r="B24" s="28" t="inlineStr">
        <is>
          <t>MIP gap / tolerance</t>
        </is>
      </c>
      <c r="C24" s="28" t="n">
        <v>1e-06</v>
      </c>
      <c r="D24" s="28" t="str"/>
      <c r="E24" s="28" t="inlineStr">
        <is>
          <t>mip_gap</t>
        </is>
      </c>
      <c r="F24" s="28" t="inlineStr">
        <is>
          <t>Yes</t>
        </is>
      </c>
      <c r="G24" s="28" t="inlineStr">
        <is>
          <t>Same across A/B/C.</t>
        </is>
      </c>
    </row>
    <row r="25">
      <c r="A25" s="28" t="inlineStr">
        <is>
          <t>Solver</t>
        </is>
      </c>
      <c r="B25" s="28" t="inlineStr">
        <is>
          <t>Time limit</t>
        </is>
      </c>
      <c r="C25" s="28" t="inlineStr">
        <is>
          <t>Oracle 1800.0 s; causal window 120.0 s</t>
        </is>
      </c>
      <c r="D25" s="28" t="inlineStr">
        <is>
          <t>s</t>
        </is>
      </c>
      <c r="E25" s="28" t="inlineStr">
        <is>
          <t>oracle_time_limit_seconds; causal_window_time_limit_seconds</t>
        </is>
      </c>
      <c r="F25" s="28" t="inlineStr">
        <is>
          <t>Yes</t>
        </is>
      </c>
      <c r="G25" s="28" t="inlineStr">
        <is>
          <t>All solves reached OPTIMAL.</t>
        </is>
      </c>
    </row>
    <row r="26">
      <c r="A26" s="28" t="inlineStr">
        <is>
          <t>Scoring</t>
        </is>
      </c>
      <c r="B26" s="28" t="inlineStr">
        <is>
          <t>Primary revenue formula</t>
        </is>
      </c>
      <c r="C26" s="28" t="inlineStr">
        <is>
          <t>raw realized revenue USD = sum(delivered_power_MW * actual_raw_price_USD_per_MWh)</t>
        </is>
      </c>
      <c r="D26" s="28" t="inlineStr">
        <is>
          <t>USD</t>
        </is>
      </c>
      <c r="E26" s="28" t="inlineStr">
        <is>
          <t>hourly_raw_revenue_USD = delivered * actual_raw_price</t>
        </is>
      </c>
      <c r="F26" s="28" t="inlineStr">
        <is>
          <t>Yes</t>
        </is>
      </c>
      <c r="G26" s="28" t="inlineStr">
        <is>
          <t>Uses raw, uncapped, unnormalized price in USD/MWh; no COVE/profit comparison here.</t>
        </is>
      </c>
    </row>
    <row r="27">
      <c r="A27" s="28" t="inlineStr">
        <is>
          <t>Scoring</t>
        </is>
      </c>
      <c r="B27" s="28" t="inlineStr">
        <is>
          <t>Raw negative prices preserved?</t>
        </is>
      </c>
      <c r="C27" s="28" t="inlineStr">
        <is>
          <t>Yes</t>
        </is>
      </c>
      <c r="D27" s="28" t="str"/>
      <c r="E27" s="28" t="inlineStr">
        <is>
          <t>actual_raw_price_USD_per_MWh</t>
        </is>
      </c>
      <c r="F27" s="28" t="inlineStr">
        <is>
          <t>Yes</t>
        </is>
      </c>
      <c r="G27" s="28" t="inlineStr">
        <is>
          <t>Raw LMP min -26.1575, max 835.4492.</t>
        </is>
      </c>
    </row>
    <row r="28">
      <c r="A28" s="28" t="inlineStr">
        <is>
          <t>Scoring</t>
        </is>
      </c>
      <c r="B28" s="28" t="inlineStr">
        <is>
          <t>Price cap or normalization in primary metric?</t>
        </is>
      </c>
      <c r="C28" s="28" t="inlineStr">
        <is>
          <t>No</t>
        </is>
      </c>
      <c r="D28" s="28" t="str"/>
      <c r="E28" s="28" t="inlineStr">
        <is>
          <t>actual_raw_price_USD_per_MWh</t>
        </is>
      </c>
      <c r="F28" s="28" t="inlineStr">
        <is>
          <t>Yes</t>
        </is>
      </c>
      <c r="G28" s="28" t="inlineStr">
        <is>
          <t>Raw USD/MWh values used directly.</t>
        </is>
      </c>
    </row>
  </sheetData>
  <dataValidations count="1">
    <dataValidation sqref="F2:F28" showDropDown="0" showInputMessage="0" showErrorMessage="0" allowBlank="0" type="list">
      <formula1>"Yes,No,N/A"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52" customWidth="1" min="3" max="3"/>
    <col width="12" customWidth="1" min="4" max="4"/>
    <col width="52" customWidth="1" min="5" max="5"/>
    <col width="52" customWidth="1" min="6" max="6"/>
    <col width="42" customWidth="1" min="7" max="7"/>
    <col width="52" customWidth="1" min="8" max="8"/>
  </cols>
  <sheetData>
    <row r="1">
      <c r="A1" s="64" t="inlineStr">
        <is>
          <t>Audit ID</t>
        </is>
      </c>
      <c r="B1" s="64" t="inlineStr">
        <is>
          <t>Repository/Data Item</t>
        </is>
      </c>
      <c r="C1" s="64" t="inlineStr">
        <is>
          <t>Expected Location</t>
        </is>
      </c>
      <c r="D1" s="64" t="inlineStr">
        <is>
          <t>Present?</t>
        </is>
      </c>
      <c r="E1" s="64" t="inlineStr">
        <is>
          <t>Exact Path Used</t>
        </is>
      </c>
      <c r="F1" s="64" t="inlineStr">
        <is>
          <t>Authoritative / Derived</t>
        </is>
      </c>
      <c r="G1" s="64" t="inlineStr">
        <is>
          <t>Commit Hash</t>
        </is>
      </c>
      <c r="H1" s="64" t="inlineStr">
        <is>
          <t>Notes</t>
        </is>
      </c>
    </row>
    <row r="2">
      <c r="A2" s="28" t="inlineStr">
        <is>
          <t>D-A01</t>
        </is>
      </c>
      <c r="B2" s="28" t="inlineStr">
        <is>
          <t>Long historical processed data</t>
        </is>
      </c>
      <c r="C2" s="28" t="inlineStr">
        <is>
          <t>data/processed/dataset_1980-2023_withloads_fix.csv</t>
        </is>
      </c>
      <c r="D2" s="28" t="inlineStr">
        <is>
          <t>Yes</t>
        </is>
      </c>
      <c r="E2" s="28" t="inlineStr">
        <is>
          <t>/Users/davidvalenta/deep-wind-model-dispatch/data/processed/dataset_1980-2023_withloads_fix.csv</t>
        </is>
      </c>
      <c r="F2" s="28" t="inlineStr">
        <is>
          <t>Derived historical processed reference; not used for B6</t>
        </is>
      </c>
      <c r="G2" s="28" t="inlineStr">
        <is>
          <t>b14f5d183c4df1824a75d3da3bdbbb0062f6a110</t>
        </is>
      </c>
      <c r="H2" s="28" t="inlineStr">
        <is>
          <t>Present in repo, but not used for B6 scoring because 2020 has 8783 rows and is missing 2020-11-15 23:00:00.</t>
        </is>
      </c>
    </row>
    <row r="3">
      <c r="A3" s="28" t="inlineStr">
        <is>
          <t>D-A02</t>
        </is>
      </c>
      <c r="B3" s="28" t="inlineStr">
        <is>
          <t>2020 price file</t>
        </is>
      </c>
      <c r="C3" s="28" t="inlineStr">
        <is>
          <t>data/processed/lmp_2020.csv</t>
        </is>
      </c>
      <c r="D3" s="28" t="inlineStr">
        <is>
          <t>Yes</t>
        </is>
      </c>
      <c r="E3" s="28" t="inlineStr">
        <is>
          <t>/Users/davidvalenta/deep-wind-model-dispatch/data/raw/prices/12cfb125-8fa9-4401-8b0f-9d928544b721.csv</t>
        </is>
      </c>
      <c r="F3" s="28" t="inlineStr">
        <is>
          <t>Authoritative raw LMP input for B6</t>
        </is>
      </c>
      <c r="G3" s="28" t="inlineStr">
        <is>
          <t>b14f5d183c4df1824a75d3da3bdbbb0062f6a110</t>
        </is>
      </c>
      <c r="H3" s="28" t="inlineStr">
        <is>
          <t>Complete 2020 raw price file used; 8784 hourly records; raw uncapped USD/MWh.</t>
        </is>
      </c>
    </row>
    <row r="4">
      <c r="A4" s="28" t="inlineStr">
        <is>
          <t>D-A03</t>
        </is>
      </c>
      <c r="B4" s="28" t="inlineStr">
        <is>
          <t>2018-2021 combined data</t>
        </is>
      </c>
      <c r="C4" s="28" t="inlineStr">
        <is>
          <t>data/processed/dataset_2018-21.csv or related</t>
        </is>
      </c>
      <c r="D4" s="28" t="inlineStr">
        <is>
          <t>Yes</t>
        </is>
      </c>
      <c r="E4" s="28" t="inlineStr">
        <is>
          <t>/Users/davidvalenta/deep-wind-model-dispatch/data/processed/dataset_2018-21.csv</t>
        </is>
      </c>
      <c r="F4" s="28" t="inlineStr">
        <is>
          <t>Forecast training input</t>
        </is>
      </c>
      <c r="G4" s="28" t="inlineStr">
        <is>
          <t>b14f5d183c4df1824a75d3da3bdbbb0062f6a110</t>
        </is>
      </c>
      <c r="H4" s="28" t="inlineStr">
        <is>
          <t>Used only to train frozen causal forecasts on pre-2020 data.</t>
        </is>
      </c>
    </row>
    <row r="5">
      <c r="A5" s="28" t="inlineStr">
        <is>
          <t>D-A04</t>
        </is>
      </c>
      <c r="B5" s="28" t="inlineStr">
        <is>
          <t>Nora weekly comparison folder</t>
        </is>
      </c>
      <c r="C5" s="28" t="inlineStr">
        <is>
          <t>strategy_model/optimization/nora_weekly_comparison_2020_jan06_caes100mw10h_raw_lmp/</t>
        </is>
      </c>
      <c r="D5" s="28" t="inlineStr">
        <is>
          <t>Yes</t>
        </is>
      </c>
      <c r="E5" s="28" t="inlineStr">
        <is>
          <t>/Users/davidvalenta/deep-wind-model-dispatch/strategy_model/optimization/nora_weekly_comparison_2020_jan06_caes100mw10h_raw_lmp/</t>
        </is>
      </c>
      <c r="F5" s="28" t="inlineStr">
        <is>
          <t>Derived comparison folder</t>
        </is>
      </c>
      <c r="G5" s="28" t="inlineStr">
        <is>
          <t>b14f5d183c4df1824a75d3da3bdbbb0062f6a110</t>
        </is>
      </c>
      <c r="H5" s="28" t="inlineStr">
        <is>
          <t>Contains Nora weekly comparison outputs.</t>
        </is>
      </c>
    </row>
    <row r="6">
      <c r="A6" s="28" t="inlineStr">
        <is>
          <t>D-A05</t>
        </is>
      </c>
      <c r="B6" s="28" t="inlineStr">
        <is>
          <t>Nora weekly hourly result file</t>
        </is>
      </c>
      <c r="C6" s="28" t="inlineStr">
        <is>
          <t>.../nora_weekly_hourly_results.csv</t>
        </is>
      </c>
      <c r="D6" s="28" t="inlineStr">
        <is>
          <t>Yes</t>
        </is>
      </c>
      <c r="E6" s="28" t="inlineStr">
        <is>
          <t>/Users/davidvalenta/deep-wind-model-dispatch/strategy_model/optimization/nora_weekly_comparison_2020_jan06_caes100mw10h_raw_lmp/nora_weekly_hourly_results.csv</t>
        </is>
      </c>
      <c r="F6" s="28" t="inlineStr">
        <is>
          <t>Derived hourly output</t>
        </is>
      </c>
      <c r="G6" s="28" t="inlineStr">
        <is>
          <t>b14f5d183c4df1824a75d3da3bdbbb0062f6a110</t>
        </is>
      </c>
      <c r="H6" s="28" t="inlineStr">
        <is>
          <t>Derived output, not the original MATLAB/XLSX input file.</t>
        </is>
      </c>
    </row>
    <row r="7">
      <c r="A7" s="28" t="inlineStr">
        <is>
          <t>D-A06</t>
        </is>
      </c>
      <c r="B7" s="28" t="inlineStr">
        <is>
          <t>Original authoritative weekly input files</t>
        </is>
      </c>
      <c r="C7" s="28" t="inlineStr">
        <is>
          <t>Confirm whether actually committed</t>
        </is>
      </c>
      <c r="D7" s="28" t="inlineStr">
        <is>
          <t>No</t>
        </is>
      </c>
      <c r="E7" s="28" t="inlineStr">
        <is>
          <t>/Users/davidvalenta/Downloads/january6-12.xlsx</t>
        </is>
      </c>
      <c r="F7" s="28" t="inlineStr">
        <is>
          <t>Local external input only</t>
        </is>
      </c>
      <c r="G7" s="28" t="inlineStr">
        <is>
          <t>b14f5d183c4df1824a75d3da3bdbbb0062f6a110</t>
        </is>
      </c>
      <c r="H7" s="28" t="inlineStr">
        <is>
          <t>Original authoritative weekly input was local in Downloads and not committed to the repo.</t>
        </is>
      </c>
    </row>
    <row r="8">
      <c r="A8" s="28" t="inlineStr">
        <is>
          <t>D-A07</t>
        </is>
      </c>
      <c r="B8" s="28" t="inlineStr">
        <is>
          <t>Oracle dispatch script</t>
        </is>
      </c>
      <c r="C8" s="28" t="inlineStr">
        <is>
          <t>Provide exact path</t>
        </is>
      </c>
      <c r="D8" s="28" t="inlineStr">
        <is>
          <t>Yes</t>
        </is>
      </c>
      <c r="E8" s="28" t="inlineStr">
        <is>
          <t>/Users/davidvalenta/Documents/Codex/2026-05-19/can-you-see-my-repo-deep/work/b6_package/run_b6_package.py</t>
        </is>
      </c>
      <c r="F8" s="28" t="inlineStr">
        <is>
          <t>B6 package runner</t>
        </is>
      </c>
      <c r="G8" s="28" t="inlineStr">
        <is>
          <t>b14f5d183c4df1824a75d3da3bdbbb0062f6a110</t>
        </is>
      </c>
      <c r="H8" s="28" t="inlineStr">
        <is>
          <t>Included in command/config/log ZIP.</t>
        </is>
      </c>
    </row>
    <row r="9">
      <c r="A9" s="28" t="inlineStr">
        <is>
          <t>D-A08</t>
        </is>
      </c>
      <c r="B9" s="28" t="inlineStr">
        <is>
          <t>Causal forecast backtest script</t>
        </is>
      </c>
      <c r="C9" s="28" t="inlineStr">
        <is>
          <t>Provide exact path</t>
        </is>
      </c>
      <c r="D9" s="28" t="inlineStr">
        <is>
          <t>Yes</t>
        </is>
      </c>
      <c r="E9" s="28" t="inlineStr">
        <is>
          <t>/Users/davidvalenta/Documents/Codex/2026-05-19/can-you-see-my-repo-deep/work/b6_package/run_b6_package.py</t>
        </is>
      </c>
      <c r="F9" s="28" t="inlineStr">
        <is>
          <t>B6 causal forecast/dispatch runner</t>
        </is>
      </c>
      <c r="G9" s="28" t="inlineStr">
        <is>
          <t>b14f5d183c4df1824a75d3da3bdbbb0062f6a110</t>
        </is>
      </c>
      <c r="H9" s="28" t="inlineStr">
        <is>
          <t>Uses frozen causal 48h forecast and 24h execution; no scenario code.</t>
        </is>
      </c>
    </row>
    <row r="10">
      <c r="A10" s="28" t="inlineStr">
        <is>
          <t>D-A09</t>
        </is>
      </c>
      <c r="B10" s="28" t="inlineStr">
        <is>
          <t>New B6 parameterization patch</t>
        </is>
      </c>
      <c r="C10" s="28" t="inlineStr">
        <is>
          <t>Provide exact path</t>
        </is>
      </c>
      <c r="D10" s="28" t="inlineStr">
        <is>
          <t>Yes</t>
        </is>
      </c>
      <c r="E10" s="28" t="inlineStr">
        <is>
          <t>/Users/davidvalenta/Documents/Codex/2026-05-19/can-you-see-my-repo-deep/work/b6_package/run_b6_package.py</t>
        </is>
      </c>
      <c r="F10" s="28" t="inlineStr">
        <is>
          <t>B6 package parameterization</t>
        </is>
      </c>
      <c r="G10" s="28" t="inlineStr">
        <is>
          <t>b14f5d183c4df1824a75d3da3bdbbb0062f6a110</t>
        </is>
      </c>
      <c r="H10" s="28" t="inlineStr">
        <is>
          <t>A/B/C architecture settings generated in this runner; exact config saved to JSON.</t>
        </is>
      </c>
    </row>
  </sheetData>
  <dataValidations count="2">
    <dataValidation sqref="D2:D10" showDropDown="0" showInputMessage="0" showErrorMessage="0" allowBlank="0" type="list">
      <formula1>"Yes,No,Partial,TBD"</formula1>
    </dataValidation>
    <dataValidation sqref="F2:F10" showDropDown="0" showInputMessage="0" showErrorMessage="0" allowBlank="0" type="list">
      <formula1>"Authoritative input,Derived result,Code,Documentation,Unknown"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4" customWidth="1" min="5" max="5"/>
    <col width="14" customWidth="1" min="6" max="6"/>
    <col width="22" customWidth="1" min="7" max="7"/>
    <col width="20" customWidth="1" min="8" max="8"/>
    <col width="19" customWidth="1" min="9" max="9"/>
    <col width="19" customWidth="1" min="10" max="10"/>
    <col width="20" customWidth="1" min="11" max="11"/>
    <col width="28" customWidth="1" min="12" max="12"/>
    <col width="24" customWidth="1" min="13" max="13"/>
    <col width="22" customWidth="1" min="14" max="14"/>
    <col width="25" customWidth="1" min="15" max="15"/>
    <col width="22" customWidth="1" min="16" max="16"/>
    <col width="20" customWidth="1" min="17" max="17"/>
    <col width="23" customWidth="1" min="18" max="18"/>
    <col width="15" customWidth="1" min="19" max="19"/>
    <col width="20" customWidth="1" min="20" max="20"/>
    <col width="35" customWidth="1" min="21" max="21"/>
    <col width="29" customWidth="1" min="22" max="22"/>
    <col width="52" customWidth="1" min="23" max="23"/>
  </cols>
  <sheetData>
    <row r="1">
      <c r="A1" s="64" t="inlineStr">
        <is>
          <t>Run ID</t>
        </is>
      </c>
      <c r="B1" s="64" t="inlineStr">
        <is>
          <t>Architecture ID</t>
        </is>
      </c>
      <c r="C1" s="64" t="inlineStr">
        <is>
          <t>Workflow</t>
        </is>
      </c>
      <c r="D1" s="64" t="inlineStr">
        <is>
          <t>Power (MW)</t>
        </is>
      </c>
      <c r="E1" s="64" t="inlineStr">
        <is>
          <t>Duration (h)</t>
        </is>
      </c>
      <c r="F1" s="65" t="inlineStr">
        <is>
          <t>Energy (MWh)</t>
        </is>
      </c>
      <c r="G1" s="64" t="inlineStr">
        <is>
          <t>Planning Horizon (h)</t>
        </is>
      </c>
      <c r="H1" s="64" t="inlineStr">
        <is>
          <t>Execution Step (h)</t>
        </is>
      </c>
      <c r="I1" s="65" t="inlineStr">
        <is>
          <t>Initial SOC (MWh)</t>
        </is>
      </c>
      <c r="J1" s="65" t="inlineStr">
        <is>
          <t>Minimum SOC (MWh)</t>
        </is>
      </c>
      <c r="K1" s="65" t="inlineStr">
        <is>
          <t>Final SOC (MWh)</t>
        </is>
      </c>
      <c r="L1" s="66" t="inlineStr">
        <is>
          <t>Raw Realized Revenue (USD)</t>
        </is>
      </c>
      <c r="M1" s="65" t="inlineStr">
        <is>
          <t>Delivered Energy (MWh)</t>
        </is>
      </c>
      <c r="N1" s="65" t="inlineStr">
        <is>
          <t>Charged Energy (MWh)</t>
        </is>
      </c>
      <c r="O1" s="65" t="inlineStr">
        <is>
          <t>Discharged Energy (MWh)</t>
        </is>
      </c>
      <c r="P1" s="65" t="inlineStr">
        <is>
          <t>Curtailed Wind (MWh)</t>
        </is>
      </c>
      <c r="Q1" s="65" t="inlineStr">
        <is>
          <t>Storage Loss (MWh)</t>
        </is>
      </c>
      <c r="R1" s="64" t="inlineStr">
        <is>
          <t>Constraint Violations</t>
        </is>
      </c>
      <c r="S1" s="64" t="inlineStr">
        <is>
          <t>Solver Status</t>
        </is>
      </c>
      <c r="T1" s="64" t="inlineStr">
        <is>
          <t>Runtime (s)</t>
        </is>
      </c>
      <c r="U1" s="64" t="inlineStr">
        <is>
          <t>Hourly Output Filename</t>
        </is>
      </c>
      <c r="V1" s="64" t="inlineStr">
        <is>
          <t>Command / Config ID</t>
        </is>
      </c>
      <c r="W1" s="64" t="inlineStr">
        <is>
          <t>Notes</t>
        </is>
      </c>
    </row>
    <row r="2">
      <c r="A2" s="28" t="inlineStr">
        <is>
          <t>A_ORACLE</t>
        </is>
      </c>
      <c r="B2" s="28" t="inlineStr">
        <is>
          <t>A</t>
        </is>
      </c>
      <c r="C2" s="28" t="inlineStr">
        <is>
          <t>Oracle</t>
        </is>
      </c>
      <c r="D2" s="28" t="n">
        <v>100</v>
      </c>
      <c r="E2" s="28" t="n">
        <v>6</v>
      </c>
      <c r="F2" s="67" t="n">
        <v>600</v>
      </c>
      <c r="G2" s="28" t="n">
        <v>8784</v>
      </c>
      <c r="H2" s="28" t="n">
        <v>8784</v>
      </c>
      <c r="I2" s="67" t="n">
        <v>360</v>
      </c>
      <c r="J2" s="67" t="n">
        <v>120</v>
      </c>
      <c r="K2" s="67" t="n">
        <v>360</v>
      </c>
      <c r="L2" s="68" t="n">
        <v>12927584.11900481</v>
      </c>
      <c r="M2" s="67" t="n">
        <v>657903.3583636364</v>
      </c>
      <c r="N2" s="67" t="n">
        <v>125785.4436363636</v>
      </c>
      <c r="O2" s="67" t="n">
        <v>69181.99400000001</v>
      </c>
      <c r="P2" s="67" t="n">
        <v>82475.19</v>
      </c>
      <c r="Q2" s="67" t="n">
        <v>56603.44963636364</v>
      </c>
      <c r="R2" s="69" t="n">
        <v>0</v>
      </c>
      <c r="S2" s="28" t="inlineStr">
        <is>
          <t>OPTIMAL</t>
        </is>
      </c>
      <c r="T2" s="28" t="n">
        <v>0.2303200840005956</v>
      </c>
      <c r="U2" s="28" t="inlineStr">
        <is>
          <t>David_B6_A_ORACLE_2020_Hourly.csv</t>
        </is>
      </c>
      <c r="V2" s="28" t="inlineStr">
        <is>
          <t>David_B6_frozen_config.json</t>
        </is>
      </c>
      <c r="W2" s="28" t="inlineStr">
        <is>
          <t>Full 2020 raw realized LMP scoring; 8784 hourly rows.</t>
        </is>
      </c>
    </row>
    <row r="3">
      <c r="A3" s="28" t="inlineStr">
        <is>
          <t>A_CAUSAL</t>
        </is>
      </c>
      <c r="B3" s="28" t="inlineStr">
        <is>
          <t>A</t>
        </is>
      </c>
      <c r="C3" s="28" t="inlineStr">
        <is>
          <t>Causal</t>
        </is>
      </c>
      <c r="D3" s="28" t="n">
        <v>100</v>
      </c>
      <c r="E3" s="28" t="n">
        <v>6</v>
      </c>
      <c r="F3" s="67" t="n">
        <v>600</v>
      </c>
      <c r="G3" s="28" t="n">
        <v>48</v>
      </c>
      <c r="H3" s="28" t="n">
        <v>24</v>
      </c>
      <c r="I3" s="67" t="n">
        <v>360</v>
      </c>
      <c r="J3" s="67" t="n">
        <v>120</v>
      </c>
      <c r="K3" s="67" t="n">
        <v>120</v>
      </c>
      <c r="L3" s="68" t="n">
        <v>10557975.66613315</v>
      </c>
      <c r="M3" s="67" t="n">
        <v>732284.9965887764</v>
      </c>
      <c r="N3" s="67" t="n">
        <v>131538.246252948</v>
      </c>
      <c r="O3" s="67" t="n">
        <v>72478.03543912141</v>
      </c>
      <c r="P3" s="67" t="n">
        <v>5636.790597397002</v>
      </c>
      <c r="Q3" s="67" t="n">
        <v>59300.2108138266</v>
      </c>
      <c r="R3" s="69" t="n">
        <v>0</v>
      </c>
      <c r="S3" s="28" t="inlineStr">
        <is>
          <t>OPTIMAL</t>
        </is>
      </c>
      <c r="T3" s="28" t="n">
        <v>0.9474753830054397</v>
      </c>
      <c r="U3" s="28" t="inlineStr">
        <is>
          <t>David_B6_A_CAUSAL_2020_Hourly.csv</t>
        </is>
      </c>
      <c r="V3" s="28" t="inlineStr">
        <is>
          <t>David_B6_frozen_config.json</t>
        </is>
      </c>
      <c r="W3" s="28" t="inlineStr">
        <is>
          <t>Full 2020 raw realized LMP scoring; 8784 hourly rows.</t>
        </is>
      </c>
    </row>
    <row r="4">
      <c r="A4" s="28" t="inlineStr">
        <is>
          <t>B_ORACLE</t>
        </is>
      </c>
      <c r="B4" s="28" t="inlineStr">
        <is>
          <t>B</t>
        </is>
      </c>
      <c r="C4" s="28" t="inlineStr">
        <is>
          <t>Oracle</t>
        </is>
      </c>
      <c r="D4" s="28" t="n">
        <v>200</v>
      </c>
      <c r="E4" s="28" t="n">
        <v>3</v>
      </c>
      <c r="F4" s="67" t="n">
        <v>600</v>
      </c>
      <c r="G4" s="28" t="n">
        <v>8784</v>
      </c>
      <c r="H4" s="28" t="n">
        <v>8784</v>
      </c>
      <c r="I4" s="67" t="n">
        <v>360</v>
      </c>
      <c r="J4" s="67" t="n">
        <v>120</v>
      </c>
      <c r="K4" s="67" t="n">
        <v>360</v>
      </c>
      <c r="L4" s="68" t="n">
        <v>13810033.99725813</v>
      </c>
      <c r="M4" s="67" t="n">
        <v>655767.2353045454</v>
      </c>
      <c r="N4" s="67" t="n">
        <v>136848.2397272727</v>
      </c>
      <c r="O4" s="67" t="n">
        <v>75266.53185</v>
      </c>
      <c r="P4" s="67" t="n">
        <v>79633.05481818182</v>
      </c>
      <c r="Q4" s="67" t="n">
        <v>61581.70787727273</v>
      </c>
      <c r="R4" s="69" t="n">
        <v>0</v>
      </c>
      <c r="S4" s="28" t="inlineStr">
        <is>
          <t>OPTIMAL</t>
        </is>
      </c>
      <c r="T4" s="28" t="n">
        <v>0.3816682499991657</v>
      </c>
      <c r="U4" s="28" t="inlineStr">
        <is>
          <t>David_B6_B_ORACLE_2020_Hourly.csv</t>
        </is>
      </c>
      <c r="V4" s="28" t="inlineStr">
        <is>
          <t>David_B6_frozen_config.json</t>
        </is>
      </c>
      <c r="W4" s="28" t="inlineStr">
        <is>
          <t>Full 2020 raw realized LMP scoring; 8784 hourly rows.</t>
        </is>
      </c>
    </row>
    <row r="5">
      <c r="A5" s="28" t="inlineStr">
        <is>
          <t>B_CAUSAL</t>
        </is>
      </c>
      <c r="B5" s="28" t="inlineStr">
        <is>
          <t>B</t>
        </is>
      </c>
      <c r="C5" s="28" t="inlineStr">
        <is>
          <t>Causal</t>
        </is>
      </c>
      <c r="D5" s="28" t="n">
        <v>200</v>
      </c>
      <c r="E5" s="28" t="n">
        <v>3</v>
      </c>
      <c r="F5" s="67" t="n">
        <v>600</v>
      </c>
      <c r="G5" s="28" t="n">
        <v>48</v>
      </c>
      <c r="H5" s="28" t="n">
        <v>24</v>
      </c>
      <c r="I5" s="67" t="n">
        <v>360</v>
      </c>
      <c r="J5" s="67" t="n">
        <v>120</v>
      </c>
      <c r="K5" s="67" t="n">
        <v>120</v>
      </c>
      <c r="L5" s="68" t="n">
        <v>10518682.89686965</v>
      </c>
      <c r="M5" s="67" t="n">
        <v>732445.4349973053</v>
      </c>
      <c r="N5" s="67" t="n">
        <v>122928.720928697</v>
      </c>
      <c r="O5" s="67" t="n">
        <v>67742.79651078333</v>
      </c>
      <c r="P5" s="67" t="n">
        <v>9350.638584781129</v>
      </c>
      <c r="Q5" s="67" t="n">
        <v>55425.92441791363</v>
      </c>
      <c r="R5" s="69" t="n">
        <v>0</v>
      </c>
      <c r="S5" s="28" t="inlineStr">
        <is>
          <t>OPTIMAL</t>
        </is>
      </c>
      <c r="T5" s="28" t="n">
        <v>1.169581123005628</v>
      </c>
      <c r="U5" s="28" t="inlineStr">
        <is>
          <t>David_B6_B_CAUSAL_2020_Hourly.csv</t>
        </is>
      </c>
      <c r="V5" s="28" t="inlineStr">
        <is>
          <t>David_B6_frozen_config.json</t>
        </is>
      </c>
      <c r="W5" s="28" t="inlineStr">
        <is>
          <t>Full 2020 raw realized LMP scoring; 8784 hourly rows.</t>
        </is>
      </c>
    </row>
    <row r="6">
      <c r="A6" s="28" t="inlineStr">
        <is>
          <t>C_ORACLE</t>
        </is>
      </c>
      <c r="B6" s="28" t="inlineStr">
        <is>
          <t>C</t>
        </is>
      </c>
      <c r="C6" s="28" t="inlineStr">
        <is>
          <t>Oracle</t>
        </is>
      </c>
      <c r="D6" s="28" t="n">
        <v>100</v>
      </c>
      <c r="E6" s="28" t="n">
        <v>10</v>
      </c>
      <c r="F6" s="67" t="n">
        <v>1000</v>
      </c>
      <c r="G6" s="28" t="n">
        <v>8784</v>
      </c>
      <c r="H6" s="28" t="n">
        <v>8784</v>
      </c>
      <c r="I6" s="67" t="n">
        <v>600</v>
      </c>
      <c r="J6" s="67" t="n">
        <v>200</v>
      </c>
      <c r="K6" s="67" t="n">
        <v>600</v>
      </c>
      <c r="L6" s="68" t="n">
        <v>13398119.70254718</v>
      </c>
      <c r="M6" s="67" t="n">
        <v>651301.2012272727</v>
      </c>
      <c r="N6" s="67" t="n">
        <v>164076.6227272727</v>
      </c>
      <c r="O6" s="67" t="n">
        <v>90242.1425</v>
      </c>
      <c r="P6" s="67" t="n">
        <v>71846.31654545455</v>
      </c>
      <c r="Q6" s="67" t="n">
        <v>73834.48022727272</v>
      </c>
      <c r="R6" s="69" t="n">
        <v>0</v>
      </c>
      <c r="S6" s="28" t="inlineStr">
        <is>
          <t>OPTIMAL</t>
        </is>
      </c>
      <c r="T6" s="28" t="n">
        <v>0.2268098750000717</v>
      </c>
      <c r="U6" s="28" t="inlineStr">
        <is>
          <t>David_B6_C_ORACLE_2020_Hourly.csv</t>
        </is>
      </c>
      <c r="V6" s="28" t="inlineStr">
        <is>
          <t>David_B6_frozen_config.json</t>
        </is>
      </c>
      <c r="W6" s="28" t="inlineStr">
        <is>
          <t>Full 2020 raw realized LMP scoring; 8784 hourly rows.</t>
        </is>
      </c>
    </row>
    <row r="7">
      <c r="A7" s="28" t="inlineStr">
        <is>
          <t>C_CAUSAL</t>
        </is>
      </c>
      <c r="B7" s="28" t="inlineStr">
        <is>
          <t>C</t>
        </is>
      </c>
      <c r="C7" s="28" t="inlineStr">
        <is>
          <t>Causal</t>
        </is>
      </c>
      <c r="D7" s="28" t="n">
        <v>100</v>
      </c>
      <c r="E7" s="28" t="n">
        <v>10</v>
      </c>
      <c r="F7" s="67" t="n">
        <v>1000</v>
      </c>
      <c r="G7" s="28" t="n">
        <v>48</v>
      </c>
      <c r="H7" s="28" t="n">
        <v>24</v>
      </c>
      <c r="I7" s="67" t="n">
        <v>600</v>
      </c>
      <c r="J7" s="67" t="n">
        <v>200</v>
      </c>
      <c r="K7" s="67" t="n">
        <v>200.0000000000001</v>
      </c>
      <c r="L7" s="68" t="n">
        <v>10736543.75906839</v>
      </c>
      <c r="M7" s="67" t="n">
        <v>696975.7731092562</v>
      </c>
      <c r="N7" s="67" t="n">
        <v>201208.3440466608</v>
      </c>
      <c r="O7" s="67" t="n">
        <v>110884.5892256634</v>
      </c>
      <c r="P7" s="67" t="n">
        <v>9682.470069746483</v>
      </c>
      <c r="Q7" s="67" t="n">
        <v>90723.75482099736</v>
      </c>
      <c r="R7" s="69" t="n">
        <v>0</v>
      </c>
      <c r="S7" s="28" t="inlineStr">
        <is>
          <t>OPTIMAL</t>
        </is>
      </c>
      <c r="T7" s="28" t="n">
        <v>1.309450671009472</v>
      </c>
      <c r="U7" s="28" t="inlineStr">
        <is>
          <t>David_B6_C_CAUSAL_2020_Hourly.csv</t>
        </is>
      </c>
      <c r="V7" s="28" t="inlineStr">
        <is>
          <t>David_B6_frozen_config.json</t>
        </is>
      </c>
      <c r="W7" s="28" t="inlineStr">
        <is>
          <t>Full 2020 raw realized LMP scoring; 8784 hourly rows.</t>
        </is>
      </c>
    </row>
  </sheetData>
  <dataValidations count="1">
    <dataValidation sqref="S2:S7" showDropDown="0" showInputMessage="0" showErrorMessage="0" allowBlank="0" type="list">
      <formula1>"Optimal,Feasible,Infeasible,Error,Not run"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36" customWidth="1" min="3" max="3"/>
    <col width="30" customWidth="1" min="4" max="4"/>
    <col width="30" customWidth="1" min="5" max="5"/>
    <col width="22" customWidth="1" min="6" max="6"/>
    <col width="28" customWidth="1" min="7" max="7"/>
    <col width="52" customWidth="1" min="8" max="8"/>
  </cols>
  <sheetData>
    <row r="1">
      <c r="A1" s="64" t="inlineStr">
        <is>
          <t>Architecture Pair</t>
        </is>
      </c>
      <c r="B1" s="66" t="inlineStr">
        <is>
          <t>Oracle Incremental Value (USD)</t>
        </is>
      </c>
      <c r="C1" s="66" t="inlineStr">
        <is>
          <t>Causal Incremental Value (USD)</t>
        </is>
      </c>
      <c r="D1" s="66" t="inlineStr">
        <is>
          <t>Lower Break-Even Bound (USD)</t>
        </is>
      </c>
      <c r="E1" s="66" t="inlineStr">
        <is>
          <t>Upper Break-Even Bound (USD)</t>
        </is>
      </c>
      <c r="F1" s="66" t="inlineStr">
        <is>
          <t>Boundary Width (USD)</t>
        </is>
      </c>
      <c r="G1" s="64" t="inlineStr">
        <is>
          <t>Workflow Ordering Differs?</t>
        </is>
      </c>
      <c r="H1" s="64" t="inlineStr">
        <is>
          <t>Interpretation / Notes</t>
        </is>
      </c>
    </row>
    <row r="2">
      <c r="A2" s="28" t="inlineStr">
        <is>
          <t>B minus A</t>
        </is>
      </c>
      <c r="B2" s="68">
        <f>'Run Summary'!L4-'Run Summary'!L2</f>
        <v/>
      </c>
      <c r="C2" s="68">
        <f>'Run Summary'!L5-'Run Summary'!L3</f>
        <v/>
      </c>
      <c r="D2" s="68">
        <f>MIN(B2,C2)</f>
        <v/>
      </c>
      <c r="E2" s="68">
        <f>MAX(B2,C2)</f>
        <v/>
      </c>
      <c r="F2" s="68">
        <f>E2-D2</f>
        <v/>
      </c>
      <c r="G2" s="28">
        <f>IF(B2=C2,"No","Yes")</f>
        <v/>
      </c>
      <c r="H2" s="28" t="inlineStr">
        <is>
          <t>Oracle and causal both value B above A; oracle gap is larger because it knows the full year.</t>
        </is>
      </c>
    </row>
    <row r="3">
      <c r="A3" s="28" t="inlineStr">
        <is>
          <t>C minus A</t>
        </is>
      </c>
      <c r="B3" s="68">
        <f>'Run Summary'!L6-'Run Summary'!L2</f>
        <v/>
      </c>
      <c r="C3" s="68">
        <f>'Run Summary'!L7-'Run Summary'!L3</f>
        <v/>
      </c>
      <c r="D3" s="68">
        <f>MIN(B3,C3)</f>
        <v/>
      </c>
      <c r="E3" s="68">
        <f>MAX(B3,C3)</f>
        <v/>
      </c>
      <c r="F3" s="68">
        <f>E3-D3</f>
        <v/>
      </c>
      <c r="G3" s="28">
        <f>IF(B3=C3,"No","Yes")</f>
        <v/>
      </c>
      <c r="H3" s="28" t="inlineStr">
        <is>
          <t>C is above A in both workflows; larger energy reservoir helps but forecast error limits causal value.</t>
        </is>
      </c>
    </row>
    <row r="4">
      <c r="A4" s="28" t="inlineStr">
        <is>
          <t>C minus B</t>
        </is>
      </c>
      <c r="B4" s="68">
        <f>'Run Summary'!L6-'Run Summary'!L4</f>
        <v/>
      </c>
      <c r="C4" s="68">
        <f>'Run Summary'!L7-'Run Summary'!L5</f>
        <v/>
      </c>
      <c r="D4" s="68">
        <f>MIN(B4,C4)</f>
        <v/>
      </c>
      <c r="E4" s="68">
        <f>MAX(B4,C4)</f>
        <v/>
      </c>
      <c r="F4" s="68">
        <f>E4-D4</f>
        <v/>
      </c>
      <c r="G4" s="28">
        <f>IF(B4=C4,"No","Yes")</f>
        <v/>
      </c>
      <c r="H4" s="28" t="inlineStr">
        <is>
          <t>Oracle favors B over C; causal favors C over B under the frozen forecast policy.</t>
        </is>
      </c>
    </row>
  </sheetData>
  <conditionalFormatting sqref="G2:G4">
    <cfRule type="expression" priority="1" dxfId="0">
      <formula>G2="Yes"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21" customWidth="1" min="5" max="5"/>
    <col width="21" customWidth="1" min="6" max="6"/>
    <col width="27" customWidth="1" min="7" max="7"/>
    <col width="17" customWidth="1" min="8" max="8"/>
    <col width="52" customWidth="1" min="9" max="9"/>
  </cols>
  <sheetData>
    <row r="1">
      <c r="A1" s="64" t="inlineStr">
        <is>
          <t>Run ID</t>
        </is>
      </c>
      <c r="B1" s="64" t="inlineStr">
        <is>
          <t>Required Filename</t>
        </is>
      </c>
      <c r="C1" s="64" t="inlineStr">
        <is>
          <t>Attached?</t>
        </is>
      </c>
      <c r="D1" s="64" t="inlineStr">
        <is>
          <t>Rows</t>
        </is>
      </c>
      <c r="E1" s="64" t="inlineStr">
        <is>
          <t>First Timestamp</t>
        </is>
      </c>
      <c r="F1" s="64" t="inlineStr">
        <is>
          <t>Last Timestamp</t>
        </is>
      </c>
      <c r="G1" s="64" t="inlineStr">
        <is>
          <t>Required Columns Present?</t>
        </is>
      </c>
      <c r="H1" s="64" t="inlineStr">
        <is>
          <t>Raw Price Used?</t>
        </is>
      </c>
      <c r="I1" s="64" t="inlineStr">
        <is>
          <t>Notes</t>
        </is>
      </c>
    </row>
    <row r="2">
      <c r="A2" s="28" t="inlineStr">
        <is>
          <t>A_ORACLE</t>
        </is>
      </c>
      <c r="B2" s="28" t="inlineStr">
        <is>
          <t>David_B6_A_ORACLE_2020_Hourly.csv</t>
        </is>
      </c>
      <c r="C2" s="28" t="inlineStr">
        <is>
          <t>Yes</t>
        </is>
      </c>
      <c r="D2" s="28" t="n">
        <v>8784</v>
      </c>
      <c r="E2" s="28" t="inlineStr">
        <is>
          <t>2020-01-01 00:00:00</t>
        </is>
      </c>
      <c r="F2" s="28" t="inlineStr">
        <is>
          <t>2020-12-31 23:00:00</t>
        </is>
      </c>
      <c r="G2" s="28" t="inlineStr">
        <is>
          <t>Yes</t>
        </is>
      </c>
      <c r="H2" s="28" t="inlineStr">
        <is>
          <t>Yes</t>
        </is>
      </c>
      <c r="I2" s="28" t="inlineStr">
        <is>
          <t>Attached in deliverable folder; raw LMP column preserved.</t>
        </is>
      </c>
    </row>
    <row r="3">
      <c r="A3" s="28" t="inlineStr">
        <is>
          <t>A_CAUSAL</t>
        </is>
      </c>
      <c r="B3" s="28" t="inlineStr">
        <is>
          <t>David_B6_A_CAUSAL_2020_Hourly.csv</t>
        </is>
      </c>
      <c r="C3" s="28" t="inlineStr">
        <is>
          <t>Yes</t>
        </is>
      </c>
      <c r="D3" s="28" t="n">
        <v>8784</v>
      </c>
      <c r="E3" s="28" t="inlineStr">
        <is>
          <t>2020-01-01 00:00:00</t>
        </is>
      </c>
      <c r="F3" s="28" t="inlineStr">
        <is>
          <t>2020-12-31 23:00:00</t>
        </is>
      </c>
      <c r="G3" s="28" t="inlineStr">
        <is>
          <t>Yes</t>
        </is>
      </c>
      <c r="H3" s="28" t="inlineStr">
        <is>
          <t>Yes</t>
        </is>
      </c>
      <c r="I3" s="28" t="inlineStr">
        <is>
          <t>Attached in deliverable folder; raw LMP column preserved.</t>
        </is>
      </c>
    </row>
    <row r="4">
      <c r="A4" s="28" t="inlineStr">
        <is>
          <t>B_ORACLE</t>
        </is>
      </c>
      <c r="B4" s="28" t="inlineStr">
        <is>
          <t>David_B6_B_ORACLE_2020_Hourly.csv</t>
        </is>
      </c>
      <c r="C4" s="28" t="inlineStr">
        <is>
          <t>Yes</t>
        </is>
      </c>
      <c r="D4" s="28" t="n">
        <v>8784</v>
      </c>
      <c r="E4" s="28" t="inlineStr">
        <is>
          <t>2020-01-01 00:00:00</t>
        </is>
      </c>
      <c r="F4" s="28" t="inlineStr">
        <is>
          <t>2020-12-31 23:00:00</t>
        </is>
      </c>
      <c r="G4" s="28" t="inlineStr">
        <is>
          <t>Yes</t>
        </is>
      </c>
      <c r="H4" s="28" t="inlineStr">
        <is>
          <t>Yes</t>
        </is>
      </c>
      <c r="I4" s="28" t="inlineStr">
        <is>
          <t>Attached in deliverable folder; raw LMP column preserved.</t>
        </is>
      </c>
    </row>
    <row r="5">
      <c r="A5" s="28" t="inlineStr">
        <is>
          <t>B_CAUSAL</t>
        </is>
      </c>
      <c r="B5" s="28" t="inlineStr">
        <is>
          <t>David_B6_B_CAUSAL_2020_Hourly.csv</t>
        </is>
      </c>
      <c r="C5" s="28" t="inlineStr">
        <is>
          <t>Yes</t>
        </is>
      </c>
      <c r="D5" s="28" t="n">
        <v>8784</v>
      </c>
      <c r="E5" s="28" t="inlineStr">
        <is>
          <t>2020-01-01 00:00:00</t>
        </is>
      </c>
      <c r="F5" s="28" t="inlineStr">
        <is>
          <t>2020-12-31 23:00:00</t>
        </is>
      </c>
      <c r="G5" s="28" t="inlineStr">
        <is>
          <t>Yes</t>
        </is>
      </c>
      <c r="H5" s="28" t="inlineStr">
        <is>
          <t>Yes</t>
        </is>
      </c>
      <c r="I5" s="28" t="inlineStr">
        <is>
          <t>Attached in deliverable folder; raw LMP column preserved.</t>
        </is>
      </c>
    </row>
    <row r="6">
      <c r="A6" s="28" t="inlineStr">
        <is>
          <t>C_ORACLE</t>
        </is>
      </c>
      <c r="B6" s="28" t="inlineStr">
        <is>
          <t>David_B6_C_ORACLE_2020_Hourly.csv</t>
        </is>
      </c>
      <c r="C6" s="28" t="inlineStr">
        <is>
          <t>Yes</t>
        </is>
      </c>
      <c r="D6" s="28" t="n">
        <v>8784</v>
      </c>
      <c r="E6" s="28" t="inlineStr">
        <is>
          <t>2020-01-01 00:00:00</t>
        </is>
      </c>
      <c r="F6" s="28" t="inlineStr">
        <is>
          <t>2020-12-31 23:00:00</t>
        </is>
      </c>
      <c r="G6" s="28" t="inlineStr">
        <is>
          <t>Yes</t>
        </is>
      </c>
      <c r="H6" s="28" t="inlineStr">
        <is>
          <t>Yes</t>
        </is>
      </c>
      <c r="I6" s="28" t="inlineStr">
        <is>
          <t>Attached in deliverable folder; raw LMP column preserved.</t>
        </is>
      </c>
    </row>
    <row r="7">
      <c r="A7" s="28" t="inlineStr">
        <is>
          <t>C_CAUSAL</t>
        </is>
      </c>
      <c r="B7" s="28" t="inlineStr">
        <is>
          <t>David_B6_C_CAUSAL_2020_Hourly.csv</t>
        </is>
      </c>
      <c r="C7" s="28" t="inlineStr">
        <is>
          <t>Yes</t>
        </is>
      </c>
      <c r="D7" s="28" t="n">
        <v>8784</v>
      </c>
      <c r="E7" s="28" t="inlineStr">
        <is>
          <t>2020-01-01 00:00:00</t>
        </is>
      </c>
      <c r="F7" s="28" t="inlineStr">
        <is>
          <t>2020-12-31 23:00:00</t>
        </is>
      </c>
      <c r="G7" s="28" t="inlineStr">
        <is>
          <t>Yes</t>
        </is>
      </c>
      <c r="H7" s="28" t="inlineStr">
        <is>
          <t>Yes</t>
        </is>
      </c>
      <c r="I7" s="28" t="inlineStr">
        <is>
          <t>Attached in deliverable folder; raw LMP column preserved.</t>
        </is>
      </c>
    </row>
  </sheetData>
  <dataValidations count="3">
    <dataValidation sqref="C2:C7" showDropDown="0" showInputMessage="0" showErrorMessage="0" allowBlank="0" type="list">
      <formula1>"Yes,No,TBD"</formula1>
    </dataValidation>
    <dataValidation sqref="G2:G7" showDropDown="0" showInputMessage="0" showErrorMessage="0" allowBlank="0" type="list">
      <formula1>"Yes,No,TBD"</formula1>
    </dataValidation>
    <dataValidation sqref="H2:H7" showDropDown="0" showInputMessage="0" showErrorMessage="0" allowBlank="0" type="list">
      <formula1>"Yes,No,TBD"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48" customWidth="1" min="10" max="10"/>
  </cols>
  <sheetData>
    <row r="1">
      <c r="A1" s="64" t="inlineStr">
        <is>
          <t>QA ID</t>
        </is>
      </c>
      <c r="B1" s="64" t="inlineStr">
        <is>
          <t>Check</t>
        </is>
      </c>
      <c r="C1" s="64" t="inlineStr">
        <is>
          <t>Required Result</t>
        </is>
      </c>
      <c r="D1" s="64" t="inlineStr">
        <is>
          <t>A_ORACLE</t>
        </is>
      </c>
      <c r="E1" s="64" t="inlineStr">
        <is>
          <t>A_CAUSAL</t>
        </is>
      </c>
      <c r="F1" s="64" t="inlineStr">
        <is>
          <t>B_ORACLE</t>
        </is>
      </c>
      <c r="G1" s="64" t="inlineStr">
        <is>
          <t>B_CAUSAL</t>
        </is>
      </c>
      <c r="H1" s="64" t="inlineStr">
        <is>
          <t>C_ORACLE</t>
        </is>
      </c>
      <c r="I1" s="64" t="inlineStr">
        <is>
          <t>C_CAUSAL</t>
        </is>
      </c>
      <c r="J1" s="64" t="inlineStr">
        <is>
          <t>Evidence / Log Reference</t>
        </is>
      </c>
    </row>
    <row r="2">
      <c r="A2" s="28" t="inlineStr">
        <is>
          <t>Q01</t>
        </is>
      </c>
      <c r="B2" s="28" t="inlineStr">
        <is>
          <t>Solver completed</t>
        </is>
      </c>
      <c r="C2" s="28" t="inlineStr">
        <is>
          <t>Optimal or documented feasible</t>
        </is>
      </c>
      <c r="D2" s="28" t="inlineStr">
        <is>
          <t>OPTIMAL</t>
        </is>
      </c>
      <c r="E2" s="28" t="inlineStr">
        <is>
          <t>OPTIMAL</t>
        </is>
      </c>
      <c r="F2" s="28" t="inlineStr">
        <is>
          <t>OPTIMAL</t>
        </is>
      </c>
      <c r="G2" s="28" t="inlineStr">
        <is>
          <t>OPTIMAL</t>
        </is>
      </c>
      <c r="H2" s="28" t="inlineStr">
        <is>
          <t>OPTIMAL</t>
        </is>
      </c>
      <c r="I2" s="28" t="inlineStr">
        <is>
          <t>OPTIMAL</t>
        </is>
      </c>
      <c r="J2" s="28" t="inlineStr">
        <is>
          <t>David_B6_QA_summary.csv and per-run JSON logs.</t>
        </is>
      </c>
    </row>
    <row r="3">
      <c r="A3" s="28" t="inlineStr">
        <is>
          <t>Q02</t>
        </is>
      </c>
      <c r="B3" s="28" t="inlineStr">
        <is>
          <t>SOC below minimum</t>
        </is>
      </c>
      <c r="C3" s="28" t="inlineStr">
        <is>
          <t>0 violations</t>
        </is>
      </c>
      <c r="D3" s="28" t="n">
        <v>0</v>
      </c>
      <c r="E3" s="28" t="n">
        <v>0</v>
      </c>
      <c r="F3" s="28" t="n">
        <v>0</v>
      </c>
      <c r="G3" s="28" t="n">
        <v>0</v>
      </c>
      <c r="H3" s="28" t="n">
        <v>0</v>
      </c>
      <c r="I3" s="28" t="n">
        <v>0</v>
      </c>
      <c r="J3" s="28" t="inlineStr">
        <is>
          <t>David_B6_QA_summary.csv and per-run JSON logs.</t>
        </is>
      </c>
    </row>
    <row r="4">
      <c r="A4" s="28" t="inlineStr">
        <is>
          <t>Q03</t>
        </is>
      </c>
      <c r="B4" s="28" t="inlineStr">
        <is>
          <t>SOC above maximum</t>
        </is>
      </c>
      <c r="C4" s="28" t="inlineStr">
        <is>
          <t>0 violations</t>
        </is>
      </c>
      <c r="D4" s="28" t="n">
        <v>0</v>
      </c>
      <c r="E4" s="28" t="n">
        <v>0</v>
      </c>
      <c r="F4" s="28" t="n">
        <v>0</v>
      </c>
      <c r="G4" s="28" t="n">
        <v>0</v>
      </c>
      <c r="H4" s="28" t="n">
        <v>0</v>
      </c>
      <c r="I4" s="28" t="n">
        <v>0</v>
      </c>
      <c r="J4" s="28" t="inlineStr">
        <is>
          <t>David_B6_QA_summary.csv and per-run JSON logs.</t>
        </is>
      </c>
    </row>
    <row r="5">
      <c r="A5" s="28" t="inlineStr">
        <is>
          <t>Q04</t>
        </is>
      </c>
      <c r="B5" s="28" t="inlineStr">
        <is>
          <t>Simultaneous charge/discharge</t>
        </is>
      </c>
      <c r="C5" s="28" t="inlineStr">
        <is>
          <t>0 violations</t>
        </is>
      </c>
      <c r="D5" s="28" t="n">
        <v>0</v>
      </c>
      <c r="E5" s="28" t="n">
        <v>0</v>
      </c>
      <c r="F5" s="28" t="n">
        <v>0</v>
      </c>
      <c r="G5" s="28" t="n">
        <v>0</v>
      </c>
      <c r="H5" s="28" t="n">
        <v>0</v>
      </c>
      <c r="I5" s="28" t="n">
        <v>0</v>
      </c>
      <c r="J5" s="28" t="inlineStr">
        <is>
          <t>David_B6_QA_summary.csv and per-run JSON logs.</t>
        </is>
      </c>
    </row>
    <row r="6">
      <c r="A6" s="28" t="inlineStr">
        <is>
          <t>Q05</t>
        </is>
      </c>
      <c r="B6" s="28" t="inlineStr">
        <is>
          <t>Wind-only charging</t>
        </is>
      </c>
      <c r="C6" s="28" t="inlineStr">
        <is>
          <t>0 violations</t>
        </is>
      </c>
      <c r="D6" s="28" t="n">
        <v>0</v>
      </c>
      <c r="E6" s="28" t="n">
        <v>0</v>
      </c>
      <c r="F6" s="28" t="n">
        <v>0</v>
      </c>
      <c r="G6" s="28" t="n">
        <v>0</v>
      </c>
      <c r="H6" s="28" t="n">
        <v>0</v>
      </c>
      <c r="I6" s="28" t="n">
        <v>0</v>
      </c>
      <c r="J6" s="28" t="inlineStr">
        <is>
          <t>David_B6_QA_summary.csv and per-run JSON logs.</t>
        </is>
      </c>
    </row>
    <row r="7">
      <c r="A7" s="28" t="inlineStr">
        <is>
          <t>Q06</t>
        </is>
      </c>
      <c r="B7" s="28" t="inlineStr">
        <is>
          <t>Grid export cap</t>
        </is>
      </c>
      <c r="C7" s="28" t="inlineStr">
        <is>
          <t>0 violations</t>
        </is>
      </c>
      <c r="D7" s="28" t="n">
        <v>0</v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0</v>
      </c>
      <c r="J7" s="28" t="inlineStr">
        <is>
          <t>David_B6_QA_summary.csv and per-run JSON logs.</t>
        </is>
      </c>
    </row>
    <row r="8">
      <c r="A8" s="28" t="inlineStr">
        <is>
          <t>Q07</t>
        </is>
      </c>
      <c r="B8" s="28" t="inlineStr">
        <is>
          <t>Energy availability on discharge</t>
        </is>
      </c>
      <c r="C8" s="28" t="inlineStr">
        <is>
          <t>0 violations</t>
        </is>
      </c>
      <c r="D8" s="28" t="n">
        <v>0</v>
      </c>
      <c r="E8" s="28" t="n">
        <v>0</v>
      </c>
      <c r="F8" s="28" t="n">
        <v>0</v>
      </c>
      <c r="G8" s="28" t="n">
        <v>0</v>
      </c>
      <c r="H8" s="28" t="n">
        <v>0</v>
      </c>
      <c r="I8" s="28" t="n">
        <v>0</v>
      </c>
      <c r="J8" s="28" t="inlineStr">
        <is>
          <t>David_B6_QA_summary.csv and per-run JSON logs.</t>
        </is>
      </c>
    </row>
    <row r="9">
      <c r="A9" s="28" t="inlineStr">
        <is>
          <t>Q08</t>
        </is>
      </c>
      <c r="B9" s="28" t="inlineStr">
        <is>
          <t>Chronological SOC carryover</t>
        </is>
      </c>
      <c r="C9" s="28" t="inlineStr">
        <is>
          <t>Verified</t>
        </is>
      </c>
      <c r="D9" s="28" t="inlineStr">
        <is>
          <t>Verified</t>
        </is>
      </c>
      <c r="E9" s="28" t="inlineStr">
        <is>
          <t>Verified</t>
        </is>
      </c>
      <c r="F9" s="28" t="inlineStr">
        <is>
          <t>Verified</t>
        </is>
      </c>
      <c r="G9" s="28" t="inlineStr">
        <is>
          <t>Verified</t>
        </is>
      </c>
      <c r="H9" s="28" t="inlineStr">
        <is>
          <t>Verified</t>
        </is>
      </c>
      <c r="I9" s="28" t="inlineStr">
        <is>
          <t>Verified</t>
        </is>
      </c>
      <c r="J9" s="28" t="inlineStr">
        <is>
          <t>David_B6_QA_summary.csv and per-run JSON logs.</t>
        </is>
      </c>
    </row>
    <row r="10">
      <c r="A10" s="28" t="inlineStr">
        <is>
          <t>Q09</t>
        </is>
      </c>
      <c r="B10" s="28" t="inlineStr">
        <is>
          <t>Initial SOC fraction consistent</t>
        </is>
      </c>
      <c r="C10" s="28" t="inlineStr">
        <is>
          <t>Verified</t>
        </is>
      </c>
      <c r="D10" s="28" t="inlineStr">
        <is>
          <t>Verified</t>
        </is>
      </c>
      <c r="E10" s="28" t="inlineStr">
        <is>
          <t>Verified</t>
        </is>
      </c>
      <c r="F10" s="28" t="inlineStr">
        <is>
          <t>Verified</t>
        </is>
      </c>
      <c r="G10" s="28" t="inlineStr">
        <is>
          <t>Verified</t>
        </is>
      </c>
      <c r="H10" s="28" t="inlineStr">
        <is>
          <t>Verified</t>
        </is>
      </c>
      <c r="I10" s="28" t="inlineStr">
        <is>
          <t>Verified</t>
        </is>
      </c>
      <c r="J10" s="28" t="inlineStr">
        <is>
          <t>David_B6_QA_summary.csv and per-run JSON logs.</t>
        </is>
      </c>
    </row>
    <row r="11">
      <c r="A11" s="28" t="inlineStr">
        <is>
          <t>Q10</t>
        </is>
      </c>
      <c r="B11" s="28" t="inlineStr">
        <is>
          <t>Terminal SOC rule consistent</t>
        </is>
      </c>
      <c r="C11" s="28" t="inlineStr">
        <is>
          <t>Verified</t>
        </is>
      </c>
      <c r="D11" s="28" t="inlineStr">
        <is>
          <t>Verified</t>
        </is>
      </c>
      <c r="E11" s="28" t="inlineStr">
        <is>
          <t>Verified</t>
        </is>
      </c>
      <c r="F11" s="28" t="inlineStr">
        <is>
          <t>Verified</t>
        </is>
      </c>
      <c r="G11" s="28" t="inlineStr">
        <is>
          <t>Verified</t>
        </is>
      </c>
      <c r="H11" s="28" t="inlineStr">
        <is>
          <t>Verified</t>
        </is>
      </c>
      <c r="I11" s="28" t="inlineStr">
        <is>
          <t>Verified</t>
        </is>
      </c>
      <c r="J11" s="28" t="inlineStr">
        <is>
          <t>David_B6_QA_summary.csv and per-run JSON logs.</t>
        </is>
      </c>
    </row>
    <row r="12">
      <c r="A12" s="28" t="inlineStr">
        <is>
          <t>Q11</t>
        </is>
      </c>
      <c r="B12" s="28" t="inlineStr">
        <is>
          <t>Raw realized price used</t>
        </is>
      </c>
      <c r="C12" s="28" t="inlineStr">
        <is>
          <t>Yes; USD/MWh; no cap/normalization</t>
        </is>
      </c>
      <c r="D12" s="28" t="inlineStr">
        <is>
          <t>Yes</t>
        </is>
      </c>
      <c r="E12" s="28" t="inlineStr">
        <is>
          <t>Yes</t>
        </is>
      </c>
      <c r="F12" s="28" t="inlineStr">
        <is>
          <t>Yes</t>
        </is>
      </c>
      <c r="G12" s="28" t="inlineStr">
        <is>
          <t>Yes</t>
        </is>
      </c>
      <c r="H12" s="28" t="inlineStr">
        <is>
          <t>Yes</t>
        </is>
      </c>
      <c r="I12" s="28" t="inlineStr">
        <is>
          <t>Yes</t>
        </is>
      </c>
      <c r="J12" s="28" t="inlineStr">
        <is>
          <t>David_B6_QA_summary.csv and per-run JSON logs.</t>
        </is>
      </c>
    </row>
    <row r="13">
      <c r="A13" s="28" t="inlineStr">
        <is>
          <t>Q12</t>
        </is>
      </c>
      <c r="B13" s="28" t="inlineStr">
        <is>
          <t>Hourly revenue sums to summary</t>
        </is>
      </c>
      <c r="C13" s="28" t="inlineStr">
        <is>
          <t>Difference = 0 within tolerance</t>
        </is>
      </c>
      <c r="D13" s="28" t="n">
        <v>0</v>
      </c>
      <c r="E13" s="28" t="n">
        <v>0</v>
      </c>
      <c r="F13" s="28" t="n">
        <v>0</v>
      </c>
      <c r="G13" s="28" t="n">
        <v>0</v>
      </c>
      <c r="H13" s="28" t="n">
        <v>0</v>
      </c>
      <c r="I13" s="28" t="n">
        <v>0</v>
      </c>
      <c r="J13" s="28" t="inlineStr">
        <is>
          <t>David_B6_QA_summary.csv and per-run JSON logs.</t>
        </is>
      </c>
    </row>
    <row r="14">
      <c r="A14" s="28" t="inlineStr">
        <is>
          <t>Q13</t>
        </is>
      </c>
      <c r="B14" s="28" t="inlineStr">
        <is>
          <t>2020 row count / coverage</t>
        </is>
      </c>
      <c r="C14" s="28" t="inlineStr">
        <is>
          <t>8784 or explained</t>
        </is>
      </c>
      <c r="D14" s="28" t="n">
        <v>8784</v>
      </c>
      <c r="E14" s="28" t="n">
        <v>8784</v>
      </c>
      <c r="F14" s="28" t="n">
        <v>8784</v>
      </c>
      <c r="G14" s="28" t="n">
        <v>8784</v>
      </c>
      <c r="H14" s="28" t="n">
        <v>8784</v>
      </c>
      <c r="I14" s="28" t="n">
        <v>8784</v>
      </c>
      <c r="J14" s="28" t="inlineStr">
        <is>
          <t>David_B6_QA_summary.csv and per-run JSON logs.</t>
        </is>
      </c>
    </row>
  </sheetData>
  <dataValidations count="6">
    <dataValidation sqref="D2:D14" showDropDown="0" showInputMessage="0" showErrorMessage="0" allowBlank="0" type="list">
      <formula1>"Pass,Fail,N/A,Not checked"</formula1>
    </dataValidation>
    <dataValidation sqref="E2:E14" showDropDown="0" showInputMessage="0" showErrorMessage="0" allowBlank="0" type="list">
      <formula1>"Pass,Fail,N/A,Not checked"</formula1>
    </dataValidation>
    <dataValidation sqref="F2:F14" showDropDown="0" showInputMessage="0" showErrorMessage="0" allowBlank="0" type="list">
      <formula1>"Pass,Fail,N/A,Not checked"</formula1>
    </dataValidation>
    <dataValidation sqref="G2:G14" showDropDown="0" showInputMessage="0" showErrorMessage="0" allowBlank="0" type="list">
      <formula1>"Pass,Fail,N/A,Not checked"</formula1>
    </dataValidation>
    <dataValidation sqref="H2:H14" showDropDown="0" showInputMessage="0" showErrorMessage="0" allowBlank="0" type="list">
      <formula1>"Pass,Fail,N/A,Not checked"</formula1>
    </dataValidation>
    <dataValidation sqref="I2:I14" showDropDown="0" showInputMessage="0" showErrorMessage="0" allowBlank="0" type="list">
      <formula1>"Pass,Fail,N/A,Not checked"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2026-07-13T15:06:28Z</dcterms:created>
  <dcterms:modified xmlns:dcterms="http://purl.org/dc/terms/" xmlns:xsi="http://www.w3.org/2001/XMLSchema-instance" xsi:type="dcterms:W3CDTF">2026-07-13T15:06:28Z</dcterms:modified>
</cp:coreProperties>
</file>